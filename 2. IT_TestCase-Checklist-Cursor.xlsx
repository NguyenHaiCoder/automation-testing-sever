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F:\5.May-2026\H2Q-SOLUTION-TESTER\Checklist Nhân sự\"/>
    </mc:Choice>
  </mc:AlternateContent>
  <xr:revisionPtr revIDLastSave="0" documentId="13_ncr:1_{FC065930-8D0A-4947-8263-B8785782889F}" xr6:coauthVersionLast="47" xr6:coauthVersionMax="47" xr10:uidLastSave="{00000000-0000-0000-0000-000000000000}"/>
  <bookViews>
    <workbookView xWindow="-120" yWindow="-120" windowWidth="29040" windowHeight="17520" tabRatio="706" activeTab="5" xr2:uid="{00000000-000D-0000-FFFF-FFFF00000000}"/>
  </bookViews>
  <sheets>
    <sheet name="Cover" sheetId="1" r:id="rId1"/>
    <sheet name="Test case List" sheetId="2" r:id="rId2"/>
    <sheet name="BC" sheetId="3" r:id="rId3"/>
    <sheet name="Test Report" sheetId="4" r:id="rId4"/>
    <sheet name="Login" sheetId="5" r:id="rId5"/>
    <sheet name="TEST_CASE_CURSOR" sheetId="6" r:id="rId6"/>
  </sheets>
  <definedNames>
    <definedName name="_xlnm._FilterDatabase" localSheetId="2" hidden="1">BC!$A$8:$I$16</definedName>
    <definedName name="_xlnm._FilterDatabase" localSheetId="4" hidden="1">Login!$A$8:$I$18</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5" l="1"/>
  <c r="C6" i="5" s="1"/>
  <c r="D6" i="5"/>
  <c r="B6" i="5"/>
  <c r="A6" i="5"/>
  <c r="D14" i="4"/>
  <c r="H12" i="4"/>
  <c r="G12" i="4"/>
  <c r="F12" i="4"/>
  <c r="E12" i="4"/>
  <c r="D12" i="4"/>
  <c r="C12" i="4"/>
  <c r="D11" i="4"/>
  <c r="C11" i="4"/>
  <c r="C5" i="4"/>
  <c r="C4" i="4"/>
  <c r="C3" i="4"/>
  <c r="A17" i="3"/>
  <c r="A15" i="3"/>
  <c r="A14" i="3"/>
  <c r="A12" i="3"/>
  <c r="A11" i="3"/>
  <c r="A10" i="3"/>
  <c r="E6" i="3"/>
  <c r="H11" i="4" s="1"/>
  <c r="H14" i="4" s="1"/>
  <c r="D6" i="3"/>
  <c r="G11" i="4" s="1"/>
  <c r="G14" i="4" s="1"/>
  <c r="B6" i="3"/>
  <c r="E11" i="4" s="1"/>
  <c r="E14" i="4" s="1"/>
  <c r="A6" i="3"/>
  <c r="D4" i="2"/>
  <c r="D3" i="2"/>
  <c r="C6" i="1"/>
  <c r="E17" i="4" l="1"/>
  <c r="E16" i="4"/>
  <c r="C6" i="3"/>
  <c r="F11" i="4" s="1"/>
  <c r="F1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11" authorId="0" shapeId="0" xr:uid="{00000000-0006-0000-0000-000001000000}">
      <text>
        <r>
          <rPr>
            <sz val="11"/>
            <rFont val="ＭＳ Ｐゴシック"/>
            <charset val="128"/>
          </rPr>
          <t xml:space="preserve">*A: Add
  M: Modify
  D: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G8" authorId="0" shapeId="0" xr:uid="{00000000-0006-0000-0200-000001000000}">
      <text>
        <r>
          <rPr>
            <sz val="11"/>
            <rFont val="ＭＳ Ｐゴシック"/>
            <charset val="128"/>
          </rPr>
          <t xml:space="preserve">Pass
Fail
Untested
N/A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G8" authorId="0" shapeId="0" xr:uid="{00000000-0006-0000-0400-000001000000}">
      <text>
        <r>
          <rPr>
            <sz val="11"/>
            <rFont val="ＭＳ Ｐゴシック"/>
            <charset val="128"/>
          </rPr>
          <t xml:space="preserve">Pass
Fail
Untested
N/A
</t>
        </r>
      </text>
    </comment>
  </commentList>
</comments>
</file>

<file path=xl/sharedStrings.xml><?xml version="1.0" encoding="utf-8"?>
<sst xmlns="http://schemas.openxmlformats.org/spreadsheetml/2006/main" count="607" uniqueCount="415">
  <si>
    <t>Module Code</t>
  </si>
  <si>
    <t>Checklist Nhân sự</t>
  </si>
  <si>
    <t>Pass</t>
  </si>
  <si>
    <t>Test requirement</t>
  </si>
  <si>
    <t>Verify module Checklist Nhân sự (template, instance, confirm song song, tiến độ v2)</t>
  </si>
  <si>
    <t>Fail</t>
  </si>
  <si>
    <t>Tester</t>
  </si>
  <si>
    <t>hiennm23</t>
  </si>
  <si>
    <t>Untesed</t>
  </si>
  <si>
    <t>Untested</t>
  </si>
  <si>
    <t>N/A</t>
  </si>
  <si>
    <t>Number of Test cases</t>
  </si>
  <si>
    <t>ID</t>
  </si>
  <si>
    <t>Test Case Description</t>
  </si>
  <si>
    <t>Test Case Procedure</t>
  </si>
  <si>
    <t>Expected Output</t>
  </si>
  <si>
    <t>Inter-test case Dependence</t>
  </si>
  <si>
    <t>TestData</t>
  </si>
  <si>
    <t>Result</t>
  </si>
  <si>
    <t>Test date</t>
  </si>
  <si>
    <t>Note</t>
  </si>
  <si>
    <t>Evidence</t>
  </si>
  <si>
    <t>Danh sách checklist — /hrm/checklist</t>
  </si>
  <si>
    <t>[CL-List-01]</t>
  </si>
  <si>
    <t>ADMIN truy cập màn danh sách checklist</t>
  </si>
  <si>
    <t>1. Đăng nhập tài khoản ADMIN
2. Truy cập menu HRM → Checklist (route /hrm/checklist)</t>
  </si>
  <si>
    <t>1. Màn danh sách checklist hiển thị
2. ADMIN thấy toàn bộ instance trong hệ thống
3. Có đủ cột: Tên template, Nhân viên (fullName + accountName), StartDate, EndDate, Trạng thái, Tiến độ (done/total), Badge overdue (nếu có)</t>
  </si>
  <si>
    <t>1. Tài khoản ADMIN hợp lệ
2. Đã có ít nhất 1 checklist instance</t>
  </si>
  <si>
    <t>2026-06-23</t>
  </si>
  <si>
    <t>https://qlrv.democloud.xyz/hrm/checklist</t>
  </si>
  <si>
    <t>[CL-List-02]</t>
  </si>
  <si>
    <t>OFFICER chỉ thấy checklist liên quan mình</t>
  </si>
  <si>
    <t>1. Đăng nhập tài khoản OFFICER (có task được giao)
2. Truy cập /hrm/checklist</t>
  </si>
  <si>
    <t>1. Danh sách chỉ hiển thị instance có ít nhất 1 task với AssignedOfficerId = OFFICER hiện tại
2. Không hiển thị instance không liên quan</t>
  </si>
  <si>
    <t>1. OFFICER được giao task trong instance A
2. Instance B không có task giao cho OFFICER này</t>
  </si>
  <si>
    <t>OFFICER: user có task assigned</t>
  </si>
  <si>
    <t>[CL-List-03]</t>
  </si>
  <si>
    <t>EMPLOYEE chỉ thấy checklist của bản thân</t>
  </si>
  <si>
    <t>1. Đăng nhập tài khoản EMPLOYEE
2. Truy cập /hrm/checklist</t>
  </si>
  <si>
    <t>1. Danh sách chỉ hiển thị instance có EmployeeId = user hiện tại
2. Không hiển thị checklist của nhân viên khác</t>
  </si>
  <si>
    <t>1. EMPLOYEE có instance riêng
2. Có instance của nhân viên khác trong DB</t>
  </si>
  <si>
    <t>[CL-List-04]</t>
  </si>
  <si>
    <t>Hiển thị tiến độ doneTaskCount/totalTaskCount và % trên danh sách</t>
  </si>
  <si>
    <t>1. Truy cập /hrm/checklist với instance có 7/10 task done</t>
  </si>
  <si>
    <t>1. Cột tiến độ hiển thị 7/10 (hoặc 70%)
2. Không hiển thị pendingTaskCount (đã bỏ v2)</t>
  </si>
  <si>
    <t>[CL-List-01]
Instance: doneTaskCount=7, totalTaskCount=10</t>
  </si>
  <si>
    <t>progress pattern in list</t>
  </si>
  <si>
    <t>[CL-List-05]</t>
  </si>
  <si>
    <t>Hiển thị badge overdueTaskCount</t>
  </si>
  <si>
    <t>1. Truy cập danh sách với instance có task quá hạn chưa xử lý</t>
  </si>
  <si>
    <t>1. Instance hiển thị badge/số overdueTaskCount &gt; 0
2. Instance không overdue không hiển thị badge (hoặc = 0)</t>
  </si>
  <si>
    <t>Instance status Overdue hoặc có overdueTaskCount &gt; 0</t>
  </si>
  <si>
    <t>overdue badge</t>
  </si>
  <si>
    <t>[CL-List-06]</t>
  </si>
  <si>
    <t>Filter danh sách theo Keyword</t>
  </si>
  <si>
    <t>1. Tại màn danh sách, nhập Keyword (tên nhân viên / tên template)
2. Áp dụng filter</t>
  </si>
  <si>
    <t>1. Danh sách chỉ hiển thị record khớp Keyword
2. API GET /api/checklist-assignment/getCheckList trả kết quả đã filter</t>
  </si>
  <si>
    <t>[CL-List-07]</t>
  </si>
  <si>
    <t>Filter danh sách theo FromDate / ToDate</t>
  </si>
  <si>
    <t>1. Chọn FromDate và ToDate
2. Áp dụng filter</t>
  </si>
  <si>
    <t>1. Chỉ hiển thị instance có StartDate/EndDate trong khoảng chọn
2. Record ngoài khoảng không hiển thị</t>
  </si>
  <si>
    <t>[CL-List-08]</t>
  </si>
  <si>
    <t>Filter danh sách theo Status</t>
  </si>
  <si>
    <t>1. Chọn Status (Pending/InProgress/Completed/Overdue/Cancelled)
2. Áp dụng filter</t>
  </si>
  <si>
    <t>1. Danh sách chỉ hiển thị instance có status tương ứng</t>
  </si>
  <si>
    <t>[CL-List-01]
Có instance với nhiều status khác nhau</t>
  </si>
  <si>
    <t>[CL-List-09]</t>
  </si>
  <si>
    <t>Filter theo EmployeeId</t>
  </si>
  <si>
    <t>1. Chọn nhân viên cụ thể trong filter
2. Áp dụng</t>
  </si>
  <si>
    <t>1. Chỉ hiển thị checklist của nhân viên được chọn</t>
  </si>
  <si>
    <t>[CL-List-10]</t>
  </si>
  <si>
    <t>Phân trang danh sách checklist</t>
  </si>
  <si>
    <t>1. Truy cập danh sách khi có &gt; số record trên 1 trang
2. Chuyển trang 2, 3...</t>
  </si>
  <si>
    <t>1. Trang 1 hiển thị đúng số record theo page size
2. Chuyển trang load đúng batch tiếp theo
3. total count khớp API</t>
  </si>
  <si>
    <t>[CL-List-01]
Số instance &gt; page size</t>
  </si>
  <si>
    <t>[CL-List-11]</t>
  </si>
  <si>
    <t>Click checklist → mở màn chi tiết</t>
  </si>
  <si>
    <t>1. Tại danh sách, click 1 dòng checklist</t>
  </si>
  <si>
    <t>1. Navigate tới /hrm/checklist/:instanceId
2. Màn chi tiết load đúng instance</t>
  </si>
  <si>
    <t>ADMIN:Pass; OFFICER:Fail; EMPLOYEE:Pass — ADMIN: ant-table-row click → https://qlrv.democloud.xyz/hrm/checklist/3283fdfe-e372-4af | OFFICER: Cannot open detail — empty table | EMPLOYEE: ant-table-row click → https://qlrv.democloud.xyz/hrm/checklist/3642145a-c309-4a1</t>
  </si>
  <si>
    <t>Chi tiết checklist — /hrm/checklist/:instanceId</t>
  </si>
  <si>
    <t>[CL-Detail-01]</t>
  </si>
  <si>
    <t>Hiển thị thông tin tổng quan instance</t>
  </si>
  <si>
    <t>1. Mở chi tiết 1 checklist instance</t>
  </si>
  <si>
    <t>1. Hiển thị: templateName, status, startDate, endDate
2. endDate = MAX(deadline) các task
3. progressPercent hiển thị (vòng tròn hoặc thanh %)</t>
  </si>
  <si>
    <t>ADMIN:Pass; OFFICER:Fail; EMPLOYEE:Pass — ADMIN: https://qlrv.democloud.xyz/hrm/checklist/3283fdfe-e372-4afa-a6f3-db9c7fd29ad8 | OFFICER: Table has no data rows | EMPLOYEE: https://qlrv.democloud.xyz/hrm/checklist/3642145a-c309-4a19-b66c-a4e24cd710bd</t>
  </si>
  <si>
    <t>[CL-Detail-02]</t>
  </si>
  <si>
    <t>Hiển thị thông tin nhân viên (fullName, accountName, position, department)</t>
  </si>
  <si>
    <t>1. Mở chi tiết checklist</t>
  </si>
  <si>
    <t>1. Employee block hiển thị fullName từ user.FullName
2. accountName = AccessControlProfileName ?? Username
3. position và department hiển thị (JOIN bảng chức vụ/phòng ban)
4. Không null như v1</t>
  </si>
  <si>
    <t>[CL-Detail-01]
Nhân viên có phòng ban và chức vụ trên hệ thống</t>
  </si>
  <si>
    <t>employee info</t>
  </si>
  <si>
    <t>[CL-Detail-03]</t>
  </si>
  <si>
    <t>Hiển thị sections và tasks theo SortOrder</t>
  </si>
  <si>
    <t>1. Mở chi tiết checklist có nhiều section/task</t>
  </si>
  <si>
    <t>1. Sections sắp theo sortOrder
2. Tasks trong mỗi section sắp theo sortOrder
3. Mỗi task: description, deadline, durationDays</t>
  </si>
  <si>
    <t>ADMIN:Pass; EMPLOYEE:Pass — ADMIN: sections/tasks | EMPLOYEE: sections/tasks</t>
  </si>
  <si>
    <t>[CL-Detail-04]</t>
  </si>
  <si>
    <t>Hiển thị officer resolved (fullName + accountName) mỗi task</t>
  </si>
  <si>
    <t>1. Mở chi tiết, xem task item</t>
  </si>
  <si>
    <t>1. Hiển thị officerFullName và officerAccountName (JOIN user)
2. assignedOfficerId khớp task_item</t>
  </si>
  <si>
    <t>ADMIN:Pass; EMPLOYEE:Pass — ADMIN: officer display | EMPLOYEE: officer display</t>
  </si>
  <si>
    <t>[CL-Detail-05]</t>
  </si>
  <si>
    <t>Hiển thị trạng thái OfficerStatus / EmployeeStatus mỗi task</t>
  </si>
  <si>
    <t>1. Mở chi tiết với task ở các trạng thái khác nhau (Pending/Confirmed/Late/Undone)</t>
  </si>
  <si>
    <t>1. UI hiển thị đúng trạng thái officer và employee độc lập
2. Hiển thị officerNote, employeeNote, lateReason nếu có
3. Hiển thị confirmedAt tương ứng</t>
  </si>
  <si>
    <t>[CL-Detail-01]
Task mix nhiều status</t>
  </si>
  <si>
    <t>ADMIN:Pass; EMPLOYEE:Pass — ADMIN: status display | EMPLOYEE: status display</t>
  </si>
  <si>
    <t>[CL-Detail-06]</t>
  </si>
  <si>
    <t>Hiển thị canOfficerUndo và officerUndoDeadline</t>
  </si>
  <si>
    <t>1. Mở task officer đã confirm &lt; 60 phút, employee chưa confirm
2. Mở task officer confirm &gt; 60 phút hoặc employee đã confirm</t>
  </si>
  <si>
    <t>1. Case 1: hiển thị nút Undo + deadline undo
2. Case 2: không hiển thị Undo (canOfficerUndo=false)</t>
  </si>
  <si>
    <t>[CL-Detail-07]</t>
  </si>
  <si>
    <t>Hiển thị nhật ký (logs) read-only</t>
  </si>
  <si>
    <t>1. Mở chi tiết checklist đã có log (CreateInstance, Confirm, ChangeOfficer...)</t>
  </si>
  <si>
    <t>1. Danh sách log hiển thị createdAt, actorFullName, actorAccountName, action, detail
2. Không cho sửa/xóa log</t>
  </si>
  <si>
    <t>[CL-Detail-01]
Instance đã có nhiều log</t>
  </si>
  <si>
    <t>ADMIN:Pass; EMPLOYEE:Pass — ADMIN: logs | EMPLOYEE: logs</t>
  </si>
  <si>
    <t>[CL-Detail-08]</t>
  </si>
  <si>
    <t>Phân quyền xem chi tiết — OFFICER/EMPLOYEE không xem instance không liên quan</t>
  </si>
  <si>
    <t>1. OFFICER truy cập URL chi tiết instance không có task mình
2. EMPLOYEE truy cập instance của người khác</t>
  </si>
  <si>
    <t>1. Không cho xem (403/redirect/empty)
2. Không leak dữ liệu</t>
  </si>
  <si>
    <t>[CL-Detail-01]
Có instance không liên quan</t>
  </si>
  <si>
    <t>Quản lý template — /hrm/checklist/template (ADMIN)</t>
  </si>
  <si>
    <t>[CL-Tpl-01]</t>
  </si>
  <si>
    <t>ADMIN truy cập màn quản lý template</t>
  </si>
  <si>
    <t>1. Đăng nhập ADMIN
2. Truy cập /hrm/checklist/template</t>
  </si>
  <si>
    <t>1. Màn danh sách template hiển thị
2. OFFICER/EMPLOYEE không truy cập được (hoặc không thấy menu)</t>
  </si>
  <si>
    <t>Tài khoản ADMIN</t>
  </si>
  <si>
    <t>snippet=CHECKINPRO
admin
admin
Chấm công (cc)
Thưởng/Phạt
Việc cần làm ngay
Sơ yếu lý lịch
Số liệu lương
Mẫu Checklist
Checklist
Tuyển dụng
Test Online
Đánh giá nhân viên
Giảm trừ gia cảnh
Thu gọn
Quản lý tem</t>
  </si>
  <si>
    <t>[CL-Tpl-02]</t>
  </si>
  <si>
    <t>Danh sách template — filter và phân trang</t>
  </si>
  <si>
    <t>1. Tại màn template, dùng filter và chuyển trang</t>
  </si>
  <si>
    <t>1. GET /api/checklist-template/getList trả đúng filter + pagination
2. UI hiển thị Code, Name, IsActive</t>
  </si>
  <si>
    <t>List page visible</t>
  </si>
  <si>
    <t>[CL-Tpl-03]</t>
  </si>
  <si>
    <t>Tạo template mới — section + task + DefaultOfficerId</t>
  </si>
  <si>
    <t>1. Click Tạo template
2. Nhập Code (không dấu), Name, Description
3. Thêm section (Name, SortOrder)
4. Thêm task (Description, DurationDays, SortOrder, DefaultOfficerId)
5. Lưu</t>
  </si>
  <si>
    <t>1. POST /insert thành công
2. Template lưu đủ section/task
3. DefaultOfficerId lưu per task
4. Code unique, không dấu</t>
  </si>
  <si>
    <t>[CL-Tpl-01]
Code VD: BHS_NhanSuMoi_2025</t>
  </si>
  <si>
    <t>Create form opened</t>
  </si>
  <si>
    <t>[CL-Tpl-04]</t>
  </si>
  <si>
    <t>Validate Code template trùng / có dấu</t>
  </si>
  <si>
    <t>1. Tạo template Code đã tồn tại
2. Tạo template Code có dấu/ký tự không hợp lệ</t>
  </si>
  <si>
    <t>1. Hiển thị lỗi validate, không tạo
2. DB không duplicate Code</t>
  </si>
  <si>
    <t>[CL-Tpl-05]</t>
  </si>
  <si>
    <t>Xem chi tiết template</t>
  </si>
  <si>
    <t>1. Click 1 template trong danh sách</t>
  </si>
  <si>
    <t>1. GET /getDetail trả sections + tasks + DefaultOfficerId
2. UI hiển thị đầy đủ cấu trúc template</t>
  </si>
  <si>
    <t>[CL-Tpl-06]</t>
  </si>
  <si>
    <t>Sửa template khi KHÔNG có instance active (status 0,1,3)</t>
  </si>
  <si>
    <t>1. Chọn template chưa có instance Pending/InProgress/Overdue
2. Sửa Name/task/section → Lưu</t>
  </si>
  <si>
    <t>1. POST /update thành công
2. Thay đổi được reflect</t>
  </si>
  <si>
    <t>[CL-Tpl-05]
Template không có instance active</t>
  </si>
  <si>
    <t>[CL-Tpl-07]</t>
  </si>
  <si>
    <t>Không cho sửa template khi CÓ instance active</t>
  </si>
  <si>
    <t>1. Chọn template đã có instance status 0/1/3
2. Thử sửa và lưu</t>
  </si>
  <si>
    <t>1. BE từ chối (BR-08)
2. UI hiển thị thông báo lỗi / disable edit</t>
  </si>
  <si>
    <t>[CL-Tpl-05]
Template có instance InProgress</t>
  </si>
  <si>
    <t>[CL-Tpl-08]</t>
  </si>
  <si>
    <t>Bật/tắt template (toggleActive)</t>
  </si>
  <si>
    <t>1. Toggle IsActive template từ ON → OFF
2. Toggle OFF → ON</t>
  </si>
  <si>
    <t>1. PATCH /toggleActive cập nhật IsActive
2. Template OFF không dùng được khi tạo instance mới (nếu FE enforce)</t>
  </si>
  <si>
    <t>Tạo checklist instance (ADMIN)</t>
  </si>
  <si>
    <t>[CL-Create-01]</t>
  </si>
  <si>
    <t>ADMIN tạo checklist — 1 nhân viên</t>
  </si>
  <si>
    <t>1. ADMIN chọn Tạo checklist
2. Chọn Template + 1 Employee + StartDate
3. (Nếu cần) chọn fallback AssignedOfficer
4. Submit</t>
  </si>
  <si>
    <t>1. POST /insertBulk thành công
2. Sinh checklist_instance + task_item
3. Deadline mỗi task = StartDate + DurationDays
4. EndDate instance = MAX deadline
5. Status = Pending (0)</t>
  </si>
  <si>
    <t>[CL-Tpl-03]
Template active, employee chưa có instance trùng</t>
  </si>
  <si>
    <t>templateId, startDate, employeeIds[1]</t>
  </si>
  <si>
    <t>[CL-Create-02]</t>
  </si>
  <si>
    <t>ADMIN tạo checklist — nhiều nhân viên (bulk)</t>
  </si>
  <si>
    <t>1. Chọn cùng template + StartDate + nhiều employeeIds
2. Submit</t>
  </si>
  <si>
    <t>1. Tạo N instance (1 per employee)
2. Mỗi instance có đủ task từ template</t>
  </si>
  <si>
    <t>[CL-Create-01]
employeeIds: 2+ nhân viên</t>
  </si>
  <si>
    <t>[CL-Create-03]</t>
  </si>
  <si>
    <t>Gán officer per-task từ DefaultOfficerId template</t>
  </si>
  <si>
    <t>1. Tạo instance từ template task có DefaultOfficerId
2. Kiểm tra task_item.AssignedOfficerId</t>
  </si>
  <si>
    <t>1. AssignedOfficerId = template_task.DefaultOfficerId (BR-12)
2. Không cần gán tay từng task</t>
  </si>
  <si>
    <t>[CL-Tpl-03]
Task có DefaultOfficerId</t>
  </si>
  <si>
    <t>[CL-Create-04]</t>
  </si>
  <si>
    <t>Fallback assignedOfficerId khi DefaultOfficerId = null</t>
  </si>
  <si>
    <t>1. Template có task DefaultOfficerId = null
2. Tạo instance với assignedOfficerId fallback
3. Kiểm tra task null officer</t>
  </si>
  <si>
    <t>1. AssignedOfficerId = request.assignedOfficerId cho task null DefaultOfficerId</t>
  </si>
  <si>
    <t>[CL-Tpl-03]
Task không có DefaultOfficerId</t>
  </si>
  <si>
    <t>[CL-Create-05]</t>
  </si>
  <si>
    <t>Validate fail — cả DefaultOfficerId và fallback đều null</t>
  </si>
  <si>
    <t>1. Template có task không DefaultOfficerId
2. Tạo instance không truyền assignedOfficerId</t>
  </si>
  <si>
    <t>1. API validate fail
2. Không tạo instance</t>
  </si>
  <si>
    <t>[CL-Create-06]</t>
  </si>
  <si>
    <t>Không tạo duplicate instance (BR-06)</t>
  </si>
  <si>
    <t>1. Employee đã có instance cùng TemplateId, Status ∈ {0,1,3}
2. Tạo lại cùng template + employee</t>
  </si>
  <si>
    <t>1. API từ chối / báo lỗi duplicate
2. Không tạo instance mới</t>
  </si>
  <si>
    <t>[CL-Create-01]
Instance active đã tồn tại</t>
  </si>
  <si>
    <t>[CL-Create-07]</t>
  </si>
  <si>
    <t>Notification khi tạo instance — gửi OFFICER được giao</t>
  </si>
  <si>
    <t>1. Tạo instance mới
2. Kiểm tra in-app + email (SignalR)</t>
  </si>
  <si>
    <t>1. OFFICER được giao nhận: "Bạn được giao checklist [Template] cho [Employee]"</t>
  </si>
  <si>
    <t>[CL-Create-01]
OFFICER có account active</t>
  </si>
  <si>
    <t>Xác nhận task — Officer</t>
  </si>
  <si>
    <t>[CL-Officer-01]</t>
  </si>
  <si>
    <t>OFFICER confirm đúng hạn (trước Deadline)</t>
  </si>
  <si>
    <t>1. Đăng nhập OFFICER
2. Mở task chưa confirm, deadline chưa tới
3. Nhập minh chứng (officerNote) nếu cần
4. Confirm</t>
  </si>
  <si>
    <t>1. POST /officerConfirm thành công
2. OfficerStatus = Confirmed (1)
3. OfficerConfirmedAt/By được ghi
4. Log OfficerConfirm
5. Employee vẫn có thể confirm độc lập (BR-01)</t>
  </si>
  <si>
    <t>[CL-Create-01]
OFFICER assigned, trước deadline</t>
  </si>
  <si>
    <t>[CL-Officer-02]</t>
  </si>
  <si>
    <t>OFFICER confirm muộn — bắt buộc LateReason</t>
  </si>
  <si>
    <t>1. Mở task đã quá Deadline (hoặc confirm sau deadline)
2. Confirm không nhập LateReason
3. Confirm có LateReason</t>
  </si>
  <si>
    <t>1. Step 2: validate fail (BR-03)
2. Step 3: OfficerStatus = Late (3), LateReason lưu, log OfficerConfirmLate</t>
  </si>
  <si>
    <t>[CL-Officer-01]
Task quá deadline</t>
  </si>
  <si>
    <t>[CL-Officer-03]</t>
  </si>
  <si>
    <t>OFFICER undo trong 60 phút — employee chưa confirm task</t>
  </si>
  <si>
    <t>1. Officer đã confirm task
2. Trong 60 phút, EmployeeStatus task đó = 0
3. Click Undo</t>
  </si>
  <si>
    <t>1. PATCH /officerUndo thành công
2. OfficerStatus = Undone (2)
3. Log OfficerUndo
4. canOfficerUndo = true trước khi undo</t>
  </si>
  <si>
    <t>[CL-Officer-01]
Employee chưa confirm</t>
  </si>
  <si>
    <t>[CL-Officer-04]</t>
  </si>
  <si>
    <t>OFFICER không undo sau 60 phút</t>
  </si>
  <si>
    <t>1. Officer confirm &gt; 60 phút trước
2. Employee chưa confirm
3. Thử Undo</t>
  </si>
  <si>
    <t>1. Undo bị từ chối
2. canOfficerUndo = false</t>
  </si>
  <si>
    <t>[CL-Officer-03]
Chờ &gt; 60 phút hoặc mock time</t>
  </si>
  <si>
    <t>[CL-Officer-05]</t>
  </si>
  <si>
    <t>OFFICER không undo khi employee đã confirm</t>
  </si>
  <si>
    <t>1. Officer confirm task
2. Employee confirm cùng task
3. Officer thử Undo</t>
  </si>
  <si>
    <t>1. Undo bị từ chối (BR-02)
2. Task vẫn done</t>
  </si>
  <si>
    <t>[CL-Officer-01]
Employee confirm sau officer</t>
  </si>
  <si>
    <t>[CL-Officer-06]</t>
  </si>
  <si>
    <t>EMPLOYEE confirm TRƯỚC OFFICER — xác nhận song song (BR-01)</t>
  </si>
  <si>
    <t>1. Task mới, officer chưa confirm
2. EMPLOYEE confirm task
3. OFFICER confirm cùng task</t>
  </si>
  <si>
    <t>1. Employee confirm thành công không cần officer confirm trước
2. Sau cả 2 confirm → task done</t>
  </si>
  <si>
    <t>Xác nhận task — Employee</t>
  </si>
  <si>
    <t>[CL-Employee-01]</t>
  </si>
  <si>
    <t>EMPLOYEE confirm đúng hạn</t>
  </si>
  <si>
    <t>1. Đăng nhập EMPLOYEE
2. Mở task của instance bản thân, trước deadline
3. Nhập employeeNote, Confirm</t>
  </si>
  <si>
    <t>1. POST /employeeConfirm thành công
2. EmployeeStatus = Confirmed (1)
3. Log EmployeeConfirm</t>
  </si>
  <si>
    <t>[CL-Create-01]
EMPLOYEE = instance employee</t>
  </si>
  <si>
    <t>No employee confirm button</t>
  </si>
  <si>
    <t>[CL-Employee-02]</t>
  </si>
  <si>
    <t>EMPLOYEE confirm muộn — bắt buộc LateReason</t>
  </si>
  <si>
    <t>1. Confirm task quá deadline không LateReason
2. Confirm với LateReason</t>
  </si>
  <si>
    <t>1. Step 1: fail validate
2. Step 2: EmployeeStatus = Late (3)</t>
  </si>
  <si>
    <t>[CL-Employee-01]
Sau deadline</t>
  </si>
  <si>
    <t>[CL-Employee-03]</t>
  </si>
  <si>
    <t>EMPLOYEE không confirm task instance của người khác</t>
  </si>
  <si>
    <t>1. EMPLOYEE thử confirm taskItem không thuộc instance mình</t>
  </si>
  <si>
    <t>1. API từ chối (BR-10)
2. Không thay đổi status</t>
  </si>
  <si>
    <t>[CL-Employee-01]
TaskItem khác employeeId</t>
  </si>
  <si>
    <t>Đổi cán bộ phụ trách task</t>
  </si>
  <si>
    <t>[CL-ChangeOfficer-01]</t>
  </si>
  <si>
    <t>OFFICER đổi cán bộ — task OfficerStatus Pending (0)</t>
  </si>
  <si>
    <t>1. OFFICER mở task chưa confirm
2. Chọn đổi cán bộ → chọn officer mới
3. Lưu</t>
  </si>
  <si>
    <t>1. PATCH /changeOfficer thành công
2. AssignedOfficerId cập nhật
3. Log ChangeOfficer (OldId→NewId)
4. Notify OFFICER mới</t>
  </si>
  <si>
    <t>[CL-Create-01]
OfficerStatus = 0</t>
  </si>
  <si>
    <t>[CL-ChangeOfficer-02]</t>
  </si>
  <si>
    <t>Đổi cán bộ task OfficerStatus Undone (2)</t>
  </si>
  <si>
    <t>1. Task officer đã undo (status 2)
2. Đổi cán bộ</t>
  </si>
  <si>
    <t>1. Cho phép đổi (BR-04)
2. AssignedOfficerId cập nhật</t>
  </si>
  <si>
    <t>[CL-ChangeOfficer-03]</t>
  </si>
  <si>
    <t>Không đổi cán bộ task đã Confirmed/Late (1,3)</t>
  </si>
  <si>
    <t>1. Task OfficerStatus = 1 hoặc 3
2. Thử đổi cán bộ</t>
  </si>
  <si>
    <t>1. API từ chối (BR-04)
2. AssignedOfficerId không đổi</t>
  </si>
  <si>
    <t>[CL-ChangeOfficer-04]</t>
  </si>
  <si>
    <t>ADMIN đổi cán bộ task chưa confirm</t>
  </si>
  <si>
    <t>1. ADMIN đổi AssignedOfficerId task status 0/2</t>
  </si>
  <si>
    <t>1. Thành công như OFFICER flow</t>
  </si>
  <si>
    <t>[CL-ChangeOfficer-01]
Tài khoản ADMIN</t>
  </si>
  <si>
    <t>Hủy checklist instance (ADMIN)</t>
  </si>
  <si>
    <t>[CL-Cancel-01]</t>
  </si>
  <si>
    <t>ADMIN hủy instance — có CancelReason</t>
  </si>
  <si>
    <t>1. ADMIN mở instance
2. Chọn Hủy, nhập lý do (nghỉ việc/chuyển bộ phận)
3. Xác nhận</t>
  </si>
  <si>
    <t>1. PATCH /cancel thành công
2. Status = Cancelled (4)
3. CancelReason, CancelledBy/At lưu
4. Log CancelInstance</t>
  </si>
  <si>
    <t>[CL-Create-01]
ADMIN account</t>
  </si>
  <si>
    <t>[CL-Cancel-02]</t>
  </si>
  <si>
    <t>Hủy instance không có CancelReason</t>
  </si>
  <si>
    <t>1. ADMIN hủy không nhập lý do</t>
  </si>
  <si>
    <t>1. Validate fail (BR-07)
2. Instance không chuyển Cancelled</t>
  </si>
  <si>
    <t>[CL-Cancel-03]</t>
  </si>
  <si>
    <t>Notification khi hủy — OFFICER + EMPLOYEE</t>
  </si>
  <si>
    <t>1. Hủy instance thành công</t>
  </si>
  <si>
    <t>1. OFFICER liên quan + EMPLOYEE nhận: "Checklist [Template]/[Employee] đã hủy. Lý do: [CancelReason]"</t>
  </si>
  <si>
    <t>[CL-Cancel-04]</t>
  </si>
  <si>
    <t>OFFICER/EMPLOYEE không được hủy instance</t>
  </si>
  <si>
    <t>1. OFFICER hoặc EMPLOYEE thử gọi cancel</t>
  </si>
  <si>
    <t>1. Từ chối — chỉ ADMIN (BR-07)</t>
  </si>
  <si>
    <t>Tiến độ và trạng thái instance</t>
  </si>
  <si>
    <t>[CL-Status-01]</t>
  </si>
  <si>
    <t>Instance Pending (0) khi mới tạo — chưa ai confirm</t>
  </si>
  <si>
    <t>1. Tạo instance mới
2. Kiểm tra status</t>
  </si>
  <si>
    <t>1. Status = Pending (0)
2. progressPercent = 0</t>
  </si>
  <si>
    <t>[CL-Status-02]</t>
  </si>
  <si>
    <t>Instance InProgress (1) khi có bất kỳ confirm (officer HOẶC employee)</t>
  </si>
  <si>
    <t>1. Tạo instance
2. Chỉ OFFICER confirm 1 task HOẶC chỉ EMPLOYEE confirm 1 task</t>
  </si>
  <si>
    <t>1. Status chuyển InProgress (1) — không cần cả 2 (v2)</t>
  </si>
  <si>
    <t>[CL-Status-03]</t>
  </si>
  <si>
    <t>Task done khi Officer ∈ {1,3} AND Employee ∈ {1,3}</t>
  </si>
  <si>
    <t>1. Confirm cả officer và employee cùng task (on-time hoặc late)</t>
  </si>
  <si>
    <t>1. Task được tính done
2. doneTaskCount tăng, progressPercent cập nhật</t>
  </si>
  <si>
    <t>[CL-Officer-01]
[CL-Employee-01]</t>
  </si>
  <si>
    <t>[CL-Status-04]</t>
  </si>
  <si>
    <t>Instance Completed (2) khi tất cả task done</t>
  </si>
  <si>
    <t>1. Hoàn thành confirm tất cả task</t>
  </si>
  <si>
    <t>1. Status = Completed (2)
2. Log InstanceCompleted
3. Notify ADMIN + EMPLOYEE</t>
  </si>
  <si>
    <t>[CL-Status-03]
Tất cả task done</t>
  </si>
  <si>
    <t>[CL-Status-05]</t>
  </si>
  <si>
    <t>Instance Overdue (3) — job ChecklistOverdueJob</t>
  </si>
  <si>
    <t>1. Có task Deadline &lt; TODAY, OfficerStatus=0 hoặc EmployeeStatus=0
2. Chạy job 00:05 (hoặc trigger manual)</t>
  </si>
  <si>
    <t>1. Bên chưa xử lý set Late (3) độc lập
2. Instance Status = Overdue nếu đang 0/1
3. Log TaskOverdue + notification</t>
  </si>
  <si>
    <t>[CL-Create-01]
Task quá hạn, job enabled</t>
  </si>
  <si>
    <t>[CL-Status-06]</t>
  </si>
  <si>
    <t>progressPercent = doneTaskCount / totalTaskCount * 100</t>
  </si>
  <si>
    <t>1. Instance 3/10 task done</t>
  </si>
  <si>
    <t>1. progressPercent = 30
2. List và detail đồng bộ</t>
  </si>
  <si>
    <t>Thông báo (Notification)</t>
  </si>
  <si>
    <t>[CL-Notify-01]</t>
  </si>
  <si>
    <t>Nhắc task sắp đến hạn T-2</t>
  </si>
  <si>
    <t>1. Task deadline trong 2 ngày, bên chưa confirm</t>
  </si>
  <si>
    <t>1. Bên chưa confirm nhận: "Task [TaskDesc] đến hạn [Deadline]"</t>
  </si>
  <si>
    <t>Job/scheduler T-2 enabled</t>
  </si>
  <si>
    <t>[CL-Notify-02]</t>
  </si>
  <si>
    <t>Thông báo task quá hạn</t>
  </si>
  <si>
    <t>1. Task quá deadline chưa xử lý</t>
  </si>
  <si>
    <t>1. Bên chưa confirm + ADMIN nhận overdue notification</t>
  </si>
  <si>
    <t>[CL-Notify-03]</t>
  </si>
  <si>
    <t>Không notify "đến lượt employee" (v2 bỏ thứ tự)</t>
  </si>
  <si>
    <t>1. Officer confirm task, employee chưa confirm</t>
  </si>
  <si>
    <t>1. Không có notification kiểu "đến lượt employee confirm"</t>
  </si>
  <si>
    <t>TEST CASE</t>
  </si>
  <si>
    <t>Project Name</t>
  </si>
  <si>
    <t>&lt;Project Name&gt;</t>
  </si>
  <si>
    <t>Creator</t>
  </si>
  <si>
    <t>Project Code</t>
  </si>
  <si>
    <t>&lt;Project Code&gt;</t>
  </si>
  <si>
    <t>Reviewer/Approver</t>
  </si>
  <si>
    <t>Document Code</t>
  </si>
  <si>
    <t>Issue Date</t>
  </si>
  <si>
    <t>Version</t>
  </si>
  <si>
    <t>Record of change</t>
  </si>
  <si>
    <t>Effective Date</t>
  </si>
  <si>
    <t>Change Item</t>
  </si>
  <si>
    <t>*A,D,M</t>
  </si>
  <si>
    <t>Change description</t>
  </si>
  <si>
    <t>Reference</t>
  </si>
  <si>
    <t>&lt;Date when these changes are effective&gt;</t>
  </si>
  <si>
    <t>&lt;List of documents which are refered in this version.&gt;</t>
  </si>
  <si>
    <t>TEST CASE LIST</t>
  </si>
  <si>
    <t>Test Environment Setup Description</t>
  </si>
  <si>
    <t>&lt;List enviroment requires in this system
1. Server
2. Database
3. Web Browser
...
&gt;</t>
  </si>
  <si>
    <t>No</t>
  </si>
  <si>
    <t>Function Name</t>
  </si>
  <si>
    <t>Sheet Name</t>
  </si>
  <si>
    <t>Description</t>
  </si>
  <si>
    <t>Pre-Condition</t>
  </si>
  <si>
    <t>Function A</t>
  </si>
  <si>
    <t>Module1</t>
  </si>
  <si>
    <t>Function B</t>
  </si>
  <si>
    <t>Function C</t>
  </si>
  <si>
    <t>Function D</t>
  </si>
  <si>
    <t>Module2</t>
  </si>
  <si>
    <t>Function E</t>
  </si>
  <si>
    <t xml:space="preserve">Module1 </t>
  </si>
  <si>
    <t>&lt;Brief description about requirements which are tested in this sheet&gt;</t>
  </si>
  <si>
    <t>&lt;Brief description of this case: what is tested?&gt;
Ex: Test viewing "Company" form.</t>
  </si>
  <si>
    <t>&lt;Describe steps to perform this case&gt;
Ex:
1. Login the system with Manager role.
2. Click "Company" tab in the left menu.</t>
  </si>
  <si>
    <t>&lt;Describe results which meet customer's requirement&gt;
Ex:
1. The Hompage is displayed
2. The "Company" view form is displayed with the folowing informations:
- Company name
- Company address
- Phone
- Fax</t>
  </si>
  <si>
    <t xml:space="preserve">&lt;List all test cases or conditions that must be done before performing this case&gt;
</t>
  </si>
  <si>
    <t>&lt;Test case 2&gt;</t>
  </si>
  <si>
    <t>&lt;Test case 3&gt;</t>
  </si>
  <si>
    <t>&lt;Test case 4&gt;</t>
  </si>
  <si>
    <t>&lt;Test case 5&gt;</t>
  </si>
  <si>
    <t>&lt;Test case 6&gt;</t>
  </si>
  <si>
    <t>TEST REPORT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</si>
  <si>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</si>
  <si>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</si>
  <si>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</si>
  <si>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</si>
  <si>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</si>
  <si>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</si>
  <si>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</si>
  <si>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</si>
  <si>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</si>
  <si>
    <t>Login</t>
  </si>
  <si>
    <t>Verify login module</t>
  </si>
  <si>
    <t>[Login-01]</t>
  </si>
  <si>
    <t>Testing loading Login page</t>
  </si>
  <si>
    <t>1. Access https://shopee.vn/
2. Press [Đăng nhập] button</t>
  </si>
  <si>
    <t>1. Login screen display
2. Following informations displayed:
- Textbox Email/Sdt/ten dang nhap
- Mat khau
- button [Dang nhap]
- button [Facebook]
- button [Google]
- hyperlink: Quen mat khau, dang nhap voi SMS, Dang ky
- QR code: Đăng nhập với mã QR</t>
  </si>
  <si>
    <t>1. System is online
2. Can connect with database</t>
  </si>
  <si>
    <t>[Login-02]</t>
  </si>
  <si>
    <t>Verify login successfully</t>
  </si>
  <si>
    <t>1. At Login page, enter following information:
- Email: "manhhientqlk47@gmail.com"
- Matkhau: "không tiết lộ được"
2. Press [Dang nhap] button</t>
  </si>
  <si>
    <t>1. Shopee landing page is displaye.
2. Following information is displayed:
- Shopee icon
- account name: "hienmanhhd"
- Search box
- Slider
- Product category, product list, flash sale…</t>
  </si>
  <si>
    <t>1. [Login-01]
2. Account:
- Email: "manhhientqlk47@gmail.com"
- Matkhau: "không tiết lộ được"
is registered before</t>
  </si>
  <si>
    <t>- Email: "manhhientqlk47@gmail.com"
- Matkhau: "không tiết lộ được"</t>
  </si>
  <si>
    <t>[Login-03]</t>
  </si>
  <si>
    <t>Verify login successfully - via Google account</t>
  </si>
  <si>
    <t xml:space="preserve">1. At Login page -&gt; click [Google] button
2. At [Lựa chọn tài khoản] select gmail account [manhhientqlk47@gmail.com]
3. At [Select login to Shopee] page, click [Tiếp tục] button
</t>
  </si>
  <si>
    <t>[Login-04]</t>
  </si>
  <si>
    <t>Verify login successfully - via Facebook</t>
  </si>
  <si>
    <t xml:space="preserve">1.
2. </t>
  </si>
  <si>
    <t>[Login-05]</t>
  </si>
  <si>
    <t>Verify login fail - Invalid username</t>
  </si>
  <si>
    <t>1. At Login page, enter following information:
- Email: "manhhientqlkakjdhfouhfieurgfeurgfejbajkdv47@gmail.com"
- Matkhau: "không tiết lộ được"
2. Press [Dang nhap] button</t>
  </si>
  <si>
    <t>1. Error message display "Tên tài khoản của bạn hoặc Mật khẩu không đúng, vui lòng thử lại"
2. System not login</t>
  </si>
  <si>
    <t>1. [Login-01]
2. Account:
- Email: "manhhientqlkakjdhfouhfieurgfeurgfejbajkdv47@gmail.com"
- Matkhau: "không tiết lộ được"
is not registered before</t>
  </si>
  <si>
    <t>- Email: "manhhientqlkakjdhfouhfieurgfeurgfejbajkdv47@gmail.com"
- Matkhau: "không tiết lộ được"</t>
  </si>
  <si>
    <t>[Login-06]</t>
  </si>
  <si>
    <t>Verify login fail - Invalid password</t>
  </si>
  <si>
    <t>1. At Login page, enter following information:
- Email: "manhhientqlk47@gmail.com"
- Matkhau: "Sai mật khẩu"
2. Press [Dang nhap] button</t>
  </si>
  <si>
    <t>1. [Login-01]
2. Account:
- Email: "manhhientqlk47@gmail.com"
- Matkhau: "không tiết lộ được"
is registered before.</t>
  </si>
  <si>
    <t>Quên mật khẩu</t>
  </si>
  <si>
    <t>[ResetPassword-01]</t>
  </si>
  <si>
    <t>[ResetPassword-02]</t>
  </si>
  <si>
    <t>Đăng ký</t>
  </si>
  <si>
    <t>[Register-01]</t>
  </si>
  <si>
    <t>[Register-02]</t>
  </si>
  <si>
    <t>[Register-03]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</si>
</sst>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21">
    <font>
      <sz val="11"/>
      <name val="ＭＳ Ｐゴシック"/>
      <charset val="128"/>
    </font>
    <font>
      <sz val="9"/>
      <name val="ＭＳ ゴシック"/>
      <family val="3"/>
      <charset val="128"/>
    </font>
    <font>
      <sz val="10"/>
      <name val="Tahoma"/>
      <family val="2"/>
    </font>
    <font>
      <b/>
      <sz val="22"/>
      <color indexed="10"/>
      <name val="Tahoma"/>
      <family val="2"/>
    </font>
    <font>
      <b/>
      <sz val="26"/>
      <color indexed="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b/>
      <sz val="10"/>
      <name val="Tahoma"/>
      <family val="2"/>
    </font>
    <font>
      <u/>
      <sz val="10"/>
      <color indexed="12"/>
      <name val="Tahoma"/>
      <family val="2"/>
    </font>
    <font>
      <u/>
      <sz val="11"/>
      <color indexed="12"/>
      <name val="ＭＳ Ｐゴシック"/>
      <family val="3"/>
      <charset val="128"/>
    </font>
    <font>
      <sz val="10"/>
      <color indexed="10"/>
      <name val="Tahoma"/>
      <family val="2"/>
    </font>
    <font>
      <sz val="10"/>
      <color indexed="8"/>
      <name val="Tahoma"/>
      <family val="2"/>
    </font>
    <font>
      <sz val="10"/>
      <color indexed="9"/>
      <name val="Tahoma"/>
      <family val="2"/>
    </font>
    <font>
      <b/>
      <sz val="10"/>
      <color indexed="12"/>
      <name val="Tahoma"/>
      <family val="2"/>
    </font>
    <font>
      <sz val="11"/>
      <name val="ＭＳ Ｐゴシック"/>
      <charset val="128"/>
    </font>
    <font>
      <sz val="10"/>
      <color rgb="FFFF0000"/>
      <name val="Tahoma"/>
      <family val="2"/>
    </font>
    <font>
      <i/>
      <sz val="10"/>
      <color rgb="FFFF0000"/>
      <name val="Tahoma"/>
      <family val="2"/>
    </font>
  </fonts>
  <fills count="6">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s>
  <borders count="44">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right/>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right/>
      <top style="thin">
        <color indexed="8"/>
      </top>
      <bottom style="thin">
        <color indexed="8"/>
      </bottom>
      <diagonal/>
    </border>
    <border>
      <left style="medium">
        <color indexed="8"/>
      </left>
      <right/>
      <top style="thin">
        <color indexed="8"/>
      </top>
      <bottom style="medium">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right style="medium">
        <color indexed="8"/>
      </right>
      <top style="thin">
        <color indexed="8"/>
      </top>
      <bottom style="thin">
        <color indexed="8"/>
      </bottom>
      <diagonal/>
    </border>
    <border>
      <left/>
      <right style="medium">
        <color indexed="8"/>
      </right>
      <top/>
      <bottom style="thin">
        <color indexed="8"/>
      </bottom>
      <diagonal/>
    </border>
  </borders>
  <cellStyleXfs count="5">
    <xf numFmtId="0" fontId="0" fillId="0" borderId="0"/>
    <xf numFmtId="0" fontId="13" fillId="0" borderId="0"/>
    <xf numFmtId="0" fontId="18" fillId="0" borderId="0"/>
    <xf numFmtId="0" fontId="18" fillId="0" borderId="0"/>
    <xf numFmtId="0" fontId="1" fillId="0" borderId="0"/>
  </cellStyleXfs>
  <cellXfs count="168">
    <xf numFmtId="0" fontId="0" fillId="0" borderId="0" xfId="0"/>
    <xf numFmtId="0" fontId="2" fillId="0" borderId="0" xfId="0" applyFont="1"/>
    <xf numFmtId="0" fontId="2" fillId="0" borderId="0" xfId="0" applyFont="1" applyAlignment="1">
      <alignment horizontal="left" indent="1"/>
    </xf>
    <xf numFmtId="0" fontId="3" fillId="2" borderId="0" xfId="0" applyFont="1" applyFill="1" applyAlignment="1">
      <alignment horizontal="center" vertical="center"/>
    </xf>
    <xf numFmtId="0" fontId="4" fillId="0" borderId="1" xfId="0" applyFont="1" applyBorder="1" applyAlignment="1">
      <alignment horizontal="center" vertical="center"/>
    </xf>
    <xf numFmtId="0" fontId="2" fillId="0" borderId="0" xfId="0" applyFont="1" applyAlignment="1">
      <alignment horizontal="center" vertical="center"/>
    </xf>
    <xf numFmtId="0" fontId="6" fillId="2" borderId="0" xfId="0" applyFont="1" applyFill="1" applyAlignment="1">
      <alignment horizontal="left" indent="1"/>
    </xf>
    <xf numFmtId="0" fontId="7" fillId="0" borderId="0" xfId="0" applyFont="1" applyAlignment="1">
      <alignment horizontal="left" indent="1"/>
    </xf>
    <xf numFmtId="0" fontId="2" fillId="2" borderId="0" xfId="0" applyFont="1" applyFill="1"/>
    <xf numFmtId="0" fontId="6" fillId="2" borderId="2" xfId="0" applyFont="1" applyFill="1" applyBorder="1" applyAlignment="1">
      <alignment horizontal="left"/>
    </xf>
    <xf numFmtId="0" fontId="2" fillId="0" borderId="3" xfId="0" applyFont="1" applyBorder="1"/>
    <xf numFmtId="0" fontId="6" fillId="2" borderId="2" xfId="0" applyFont="1" applyFill="1" applyBorder="1" applyAlignment="1">
      <alignment horizontal="left" vertical="center"/>
    </xf>
    <xf numFmtId="0" fontId="7" fillId="0" borderId="3" xfId="0" applyFont="1" applyBorder="1" applyAlignment="1">
      <alignment horizontal="left" indent="1"/>
    </xf>
    <xf numFmtId="0" fontId="6" fillId="2" borderId="0" xfId="0" applyFont="1" applyFill="1"/>
    <xf numFmtId="0" fontId="7" fillId="0" borderId="0" xfId="0" applyFont="1" applyAlignment="1">
      <alignment horizontal="left"/>
    </xf>
    <xf numFmtId="0" fontId="6" fillId="0" borderId="0" xfId="0" applyFont="1" applyAlignment="1">
      <alignment horizontal="left"/>
    </xf>
    <xf numFmtId="0" fontId="2" fillId="0" borderId="0" xfId="0" applyFont="1" applyAlignment="1">
      <alignment vertical="center"/>
    </xf>
    <xf numFmtId="164" fontId="8" fillId="3" borderId="4" xfId="0" applyNumberFormat="1"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2" fillId="0" borderId="0" xfId="0" applyFont="1" applyAlignment="1">
      <alignment vertical="top"/>
    </xf>
    <xf numFmtId="0" fontId="7" fillId="0" borderId="7" xfId="0" applyFont="1" applyBorder="1" applyAlignment="1">
      <alignment vertical="top" wrapText="1"/>
    </xf>
    <xf numFmtId="49" fontId="2" fillId="0" borderId="8" xfId="0" applyNumberFormat="1" applyFont="1" applyBorder="1" applyAlignment="1">
      <alignment vertical="top"/>
    </xf>
    <xf numFmtId="0" fontId="2" fillId="0" borderId="8" xfId="0" applyFont="1" applyBorder="1" applyAlignment="1">
      <alignment vertical="top"/>
    </xf>
    <xf numFmtId="15" fontId="2" fillId="0" borderId="8" xfId="0" applyNumberFormat="1" applyFont="1" applyBorder="1" applyAlignment="1">
      <alignment vertical="top"/>
    </xf>
    <xf numFmtId="0" fontId="7" fillId="0" borderId="9" xfId="0" applyFont="1" applyBorder="1" applyAlignment="1">
      <alignment vertical="top" wrapText="1"/>
    </xf>
    <xf numFmtId="164" fontId="2" fillId="0" borderId="7" xfId="0" applyNumberFormat="1" applyFont="1" applyBorder="1" applyAlignment="1">
      <alignment vertical="top"/>
    </xf>
    <xf numFmtId="0" fontId="2" fillId="0" borderId="9" xfId="0" applyFont="1" applyBorder="1" applyAlignment="1">
      <alignment vertical="top"/>
    </xf>
    <xf numFmtId="164" fontId="2" fillId="0" borderId="10" xfId="0" applyNumberFormat="1" applyFont="1" applyBorder="1" applyAlignment="1">
      <alignment vertical="top"/>
    </xf>
    <xf numFmtId="49" fontId="2" fillId="0" borderId="11" xfId="0" applyNumberFormat="1" applyFont="1" applyBorder="1" applyAlignment="1">
      <alignment vertical="top"/>
    </xf>
    <xf numFmtId="0" fontId="2" fillId="0" borderId="11" xfId="0" applyFont="1" applyBorder="1" applyAlignment="1">
      <alignment vertical="top"/>
    </xf>
    <xf numFmtId="0" fontId="2" fillId="0" borderId="12" xfId="0" applyFont="1" applyBorder="1" applyAlignment="1">
      <alignment vertical="top"/>
    </xf>
    <xf numFmtId="1" fontId="2" fillId="2" borderId="0" xfId="0" applyNumberFormat="1" applyFont="1" applyFill="1"/>
    <xf numFmtId="0" fontId="2" fillId="2" borderId="0" xfId="0" applyFont="1" applyFill="1" applyAlignment="1">
      <alignment horizontal="left"/>
    </xf>
    <xf numFmtId="1" fontId="2" fillId="2" borderId="0" xfId="0" applyNumberFormat="1" applyFont="1" applyFill="1" applyProtection="1">
      <protection hidden="1"/>
    </xf>
    <xf numFmtId="0" fontId="5" fillId="2" borderId="0" xfId="0" applyFont="1" applyFill="1" applyAlignment="1">
      <alignment horizontal="left"/>
    </xf>
    <xf numFmtId="0" fontId="9" fillId="2" borderId="0" xfId="0" applyFont="1" applyFill="1" applyAlignment="1">
      <alignment horizontal="left"/>
    </xf>
    <xf numFmtId="0" fontId="10" fillId="2" borderId="0" xfId="0" applyFont="1" applyFill="1" applyAlignment="1">
      <alignment horizontal="left"/>
    </xf>
    <xf numFmtId="0" fontId="2" fillId="2" borderId="0" xfId="0" applyFont="1" applyFill="1" applyAlignment="1">
      <alignment wrapText="1"/>
    </xf>
    <xf numFmtId="1" fontId="6" fillId="2" borderId="0" xfId="0" applyNumberFormat="1" applyFont="1" applyFill="1"/>
    <xf numFmtId="0" fontId="2" fillId="2" borderId="0" xfId="0" applyFont="1" applyFill="1" applyAlignment="1">
      <alignment vertical="center"/>
    </xf>
    <xf numFmtId="1" fontId="2" fillId="2" borderId="0" xfId="0" applyNumberFormat="1" applyFont="1" applyFill="1" applyAlignment="1" applyProtection="1">
      <alignment vertical="center"/>
      <protection hidden="1"/>
    </xf>
    <xf numFmtId="0" fontId="2" fillId="2" borderId="0" xfId="0" applyFont="1" applyFill="1" applyAlignment="1">
      <alignment horizontal="left" vertical="center"/>
    </xf>
    <xf numFmtId="0" fontId="11" fillId="2" borderId="0" xfId="0" applyFont="1" applyFill="1" applyAlignment="1">
      <alignment horizontal="center"/>
    </xf>
    <xf numFmtId="1" fontId="8" fillId="4" borderId="4" xfId="0" applyNumberFormat="1" applyFont="1" applyFill="1" applyBorder="1" applyAlignment="1">
      <alignment horizontal="center" vertical="center"/>
    </xf>
    <xf numFmtId="0" fontId="8" fillId="4" borderId="5"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6" xfId="0" applyFont="1" applyFill="1" applyBorder="1" applyAlignment="1">
      <alignment horizontal="center" vertical="center"/>
    </xf>
    <xf numFmtId="1" fontId="2" fillId="2" borderId="7" xfId="0" applyNumberFormat="1" applyFont="1" applyFill="1" applyBorder="1" applyAlignment="1">
      <alignment vertical="center"/>
    </xf>
    <xf numFmtId="49" fontId="2" fillId="2" borderId="8" xfId="0" applyNumberFormat="1" applyFont="1" applyFill="1" applyBorder="1" applyAlignment="1">
      <alignment horizontal="left" vertical="center"/>
    </xf>
    <xf numFmtId="0" fontId="12" fillId="2" borderId="8" xfId="1" applyFont="1" applyFill="1" applyBorder="1" applyAlignment="1">
      <alignment horizontal="left" vertical="center"/>
    </xf>
    <xf numFmtId="0" fontId="2" fillId="2" borderId="9" xfId="0" applyFont="1" applyFill="1" applyBorder="1" applyAlignment="1">
      <alignment horizontal="left" vertical="center"/>
    </xf>
    <xf numFmtId="0" fontId="2" fillId="2" borderId="8" xfId="0" applyFont="1" applyFill="1" applyBorder="1" applyAlignment="1">
      <alignment horizontal="left" vertical="center"/>
    </xf>
    <xf numFmtId="1" fontId="2" fillId="2" borderId="10" xfId="0" applyNumberFormat="1" applyFont="1" applyFill="1" applyBorder="1" applyAlignment="1">
      <alignment vertical="center"/>
    </xf>
    <xf numFmtId="49" fontId="2" fillId="2" borderId="11" xfId="0" applyNumberFormat="1" applyFont="1" applyFill="1" applyBorder="1" applyAlignment="1">
      <alignment horizontal="left" vertical="center"/>
    </xf>
    <xf numFmtId="0" fontId="2" fillId="2" borderId="11" xfId="0" applyFont="1" applyFill="1" applyBorder="1" applyAlignment="1">
      <alignment horizontal="left" vertical="center"/>
    </xf>
    <xf numFmtId="0" fontId="2" fillId="2" borderId="12" xfId="0" applyFont="1" applyFill="1" applyBorder="1" applyAlignment="1">
      <alignment horizontal="left" vertical="center"/>
    </xf>
    <xf numFmtId="0" fontId="14" fillId="2" borderId="0" xfId="0" applyFont="1" applyFill="1"/>
    <xf numFmtId="0" fontId="15" fillId="2" borderId="14" xfId="0" applyFont="1" applyFill="1" applyBorder="1"/>
    <xf numFmtId="0" fontId="15" fillId="2" borderId="14" xfId="0" applyFont="1" applyFill="1" applyBorder="1" applyAlignment="1">
      <alignment wrapText="1"/>
    </xf>
    <xf numFmtId="0" fontId="2" fillId="2" borderId="14" xfId="0" applyFont="1" applyFill="1" applyBorder="1" applyAlignment="1">
      <alignment wrapText="1"/>
    </xf>
    <xf numFmtId="0" fontId="11" fillId="2" borderId="0" xfId="0" applyFont="1" applyFill="1" applyAlignment="1">
      <alignment wrapText="1"/>
    </xf>
    <xf numFmtId="0" fontId="14" fillId="2" borderId="0" xfId="0" applyFont="1" applyFill="1" applyAlignment="1">
      <alignment wrapText="1"/>
    </xf>
    <xf numFmtId="0" fontId="15" fillId="2" borderId="0" xfId="0" applyFont="1" applyFill="1"/>
    <xf numFmtId="0" fontId="11" fillId="2" borderId="15" xfId="3" applyFont="1" applyFill="1" applyBorder="1" applyAlignment="1">
      <alignment horizontal="left" wrapText="1"/>
    </xf>
    <xf numFmtId="0" fontId="11" fillId="2" borderId="16" xfId="3" applyFont="1" applyFill="1" applyBorder="1" applyAlignment="1">
      <alignment horizontal="left" wrapText="1"/>
    </xf>
    <xf numFmtId="0" fontId="9" fillId="2" borderId="0" xfId="0" applyFont="1" applyFill="1"/>
    <xf numFmtId="0" fontId="9" fillId="2" borderId="16" xfId="0"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 fillId="2" borderId="0" xfId="0" applyFont="1" applyFill="1" applyAlignment="1">
      <alignment horizontal="center" wrapText="1"/>
    </xf>
    <xf numFmtId="0" fontId="14" fillId="2" borderId="0" xfId="0" applyFont="1" applyFill="1" applyAlignment="1">
      <alignment horizontal="center" wrapText="1"/>
    </xf>
    <xf numFmtId="0" fontId="15" fillId="2" borderId="17" xfId="0" applyFont="1" applyFill="1" applyBorder="1" applyAlignment="1">
      <alignment horizontal="center" vertical="center"/>
    </xf>
    <xf numFmtId="0" fontId="15" fillId="2" borderId="18" xfId="0" applyFont="1" applyFill="1" applyBorder="1" applyAlignment="1">
      <alignment horizontal="center" vertical="center"/>
    </xf>
    <xf numFmtId="0" fontId="15" fillId="2" borderId="19" xfId="0" applyFont="1" applyFill="1" applyBorder="1" applyAlignment="1">
      <alignment horizontal="center" vertical="center"/>
    </xf>
    <xf numFmtId="0" fontId="15" fillId="2" borderId="0" xfId="0" applyFont="1" applyFill="1" applyAlignment="1">
      <alignment horizontal="center" wrapText="1"/>
    </xf>
    <xf numFmtId="0" fontId="8" fillId="3" borderId="2" xfId="3" applyFont="1" applyFill="1" applyBorder="1" applyAlignment="1">
      <alignment horizontal="center" vertical="center" wrapText="1"/>
    </xf>
    <xf numFmtId="0" fontId="8" fillId="3" borderId="20" xfId="3" applyFont="1" applyFill="1" applyBorder="1" applyAlignment="1">
      <alignment horizontal="center" vertical="center" wrapText="1"/>
    </xf>
    <xf numFmtId="0" fontId="10" fillId="2" borderId="0" xfId="3" applyFont="1" applyFill="1" applyAlignment="1">
      <alignment horizontal="center" vertical="center" wrapText="1"/>
    </xf>
    <xf numFmtId="0" fontId="11" fillId="5" borderId="1" xfId="3" applyFont="1" applyFill="1" applyBorder="1" applyAlignment="1">
      <alignment horizontal="left" vertical="center"/>
    </xf>
    <xf numFmtId="0" fontId="11" fillId="5" borderId="21" xfId="3" applyFont="1" applyFill="1" applyBorder="1" applyAlignment="1">
      <alignment horizontal="left" vertical="center"/>
    </xf>
    <xf numFmtId="0" fontId="11" fillId="5" borderId="3" xfId="3" applyFont="1" applyFill="1" applyBorder="1" applyAlignment="1">
      <alignment horizontal="left" vertical="center"/>
    </xf>
    <xf numFmtId="0" fontId="10" fillId="2" borderId="0" xfId="3" applyFont="1" applyFill="1" applyAlignment="1">
      <alignment horizontal="left" vertical="center"/>
    </xf>
    <xf numFmtId="0" fontId="2" fillId="2" borderId="2" xfId="3" applyFont="1" applyFill="1" applyBorder="1" applyAlignment="1">
      <alignment vertical="top" wrapText="1"/>
    </xf>
    <xf numFmtId="0" fontId="7" fillId="2" borderId="2" xfId="3" applyFont="1" applyFill="1" applyBorder="1" applyAlignment="1">
      <alignment vertical="top" wrapText="1"/>
    </xf>
    <xf numFmtId="0" fontId="7" fillId="2" borderId="2" xfId="0" applyFont="1" applyFill="1" applyBorder="1" applyAlignment="1">
      <alignment horizontal="left" vertical="top" wrapText="1"/>
    </xf>
    <xf numFmtId="0" fontId="2" fillId="2" borderId="2" xfId="0" applyFont="1" applyFill="1" applyBorder="1" applyAlignment="1">
      <alignment vertical="top" wrapText="1"/>
    </xf>
    <xf numFmtId="0" fontId="14" fillId="2" borderId="0" xfId="0" applyFont="1" applyFill="1" applyAlignment="1">
      <alignment vertical="top" wrapText="1"/>
    </xf>
    <xf numFmtId="0" fontId="15" fillId="2" borderId="0" xfId="0" applyFont="1" applyFill="1" applyAlignment="1">
      <alignment vertical="top"/>
    </xf>
    <xf numFmtId="0" fontId="15" fillId="2" borderId="2" xfId="0" applyFont="1" applyFill="1" applyBorder="1" applyAlignment="1">
      <alignment horizontal="left" vertical="top" wrapText="1"/>
    </xf>
    <xf numFmtId="0" fontId="2" fillId="2" borderId="2" xfId="0" applyFont="1" applyFill="1" applyBorder="1"/>
    <xf numFmtId="0" fontId="15" fillId="2" borderId="22" xfId="0" applyFont="1" applyFill="1" applyBorder="1" applyAlignment="1">
      <alignment horizontal="center" vertical="center"/>
    </xf>
    <xf numFmtId="0" fontId="15" fillId="2" borderId="2" xfId="0" applyFont="1" applyFill="1" applyBorder="1" applyAlignment="1">
      <alignment vertical="top" wrapText="1"/>
    </xf>
    <xf numFmtId="0" fontId="11" fillId="2" borderId="0" xfId="2" applyFont="1" applyFill="1"/>
    <xf numFmtId="0" fontId="2" fillId="2" borderId="0" xfId="2" applyFont="1" applyFill="1"/>
    <xf numFmtId="164" fontId="2" fillId="2" borderId="0" xfId="2" applyNumberFormat="1" applyFont="1" applyFill="1"/>
    <xf numFmtId="0" fontId="6" fillId="2" borderId="3" xfId="0" applyFont="1" applyFill="1" applyBorder="1" applyAlignment="1">
      <alignment horizontal="left"/>
    </xf>
    <xf numFmtId="0" fontId="2" fillId="2" borderId="3" xfId="0" applyFont="1" applyFill="1" applyBorder="1" applyAlignment="1">
      <alignment vertical="top"/>
    </xf>
    <xf numFmtId="0" fontId="6" fillId="2" borderId="2" xfId="0" applyFont="1" applyFill="1" applyBorder="1" applyAlignment="1">
      <alignment vertical="center"/>
    </xf>
    <xf numFmtId="0" fontId="7" fillId="2" borderId="3" xfId="0" applyFont="1" applyFill="1" applyBorder="1" applyAlignment="1">
      <alignment vertical="top"/>
    </xf>
    <xf numFmtId="0" fontId="7" fillId="2" borderId="0" xfId="2" applyFont="1" applyFill="1"/>
    <xf numFmtId="0" fontId="2" fillId="2" borderId="23" xfId="0" applyFont="1" applyFill="1" applyBorder="1"/>
    <xf numFmtId="0" fontId="8" fillId="3" borderId="24" xfId="0" applyFont="1" applyFill="1" applyBorder="1" applyAlignment="1">
      <alignment horizontal="center"/>
    </xf>
    <xf numFmtId="0" fontId="8" fillId="3" borderId="5" xfId="0" applyFont="1" applyFill="1" applyBorder="1" applyAlignment="1">
      <alignment horizontal="center"/>
    </xf>
    <xf numFmtId="0" fontId="8" fillId="3" borderId="5" xfId="0" applyFont="1" applyFill="1" applyBorder="1" applyAlignment="1">
      <alignment horizontal="center" wrapText="1"/>
    </xf>
    <xf numFmtId="0" fontId="8" fillId="3" borderId="13" xfId="0" applyFont="1" applyFill="1" applyBorder="1" applyAlignment="1">
      <alignment horizontal="center"/>
    </xf>
    <xf numFmtId="0" fontId="8" fillId="3" borderId="25" xfId="0" applyFont="1" applyFill="1" applyBorder="1" applyAlignment="1">
      <alignment horizontal="center" wrapText="1"/>
    </xf>
    <xf numFmtId="0" fontId="2" fillId="2" borderId="26" xfId="0" applyFont="1" applyFill="1" applyBorder="1" applyAlignment="1">
      <alignment horizontal="center"/>
    </xf>
    <xf numFmtId="0" fontId="2" fillId="2" borderId="8" xfId="0" applyFont="1" applyFill="1" applyBorder="1"/>
    <xf numFmtId="0" fontId="2" fillId="2" borderId="8" xfId="0" applyFont="1" applyFill="1" applyBorder="1" applyAlignment="1">
      <alignment horizontal="center"/>
    </xf>
    <xf numFmtId="0" fontId="2" fillId="2" borderId="27" xfId="0" applyFont="1" applyFill="1" applyBorder="1" applyAlignment="1">
      <alignment horizontal="center"/>
    </xf>
    <xf numFmtId="0" fontId="2" fillId="2" borderId="28" xfId="0" applyFont="1" applyFill="1" applyBorder="1" applyAlignment="1">
      <alignment horizontal="center"/>
    </xf>
    <xf numFmtId="0" fontId="16" fillId="3" borderId="29" xfId="0" applyFont="1" applyFill="1" applyBorder="1" applyAlignment="1">
      <alignment horizontal="center"/>
    </xf>
    <xf numFmtId="0" fontId="8" fillId="3" borderId="11" xfId="0" applyFont="1" applyFill="1" applyBorder="1"/>
    <xf numFmtId="0" fontId="16" fillId="3" borderId="11" xfId="0" applyFont="1" applyFill="1" applyBorder="1" applyAlignment="1">
      <alignment horizontal="center"/>
    </xf>
    <xf numFmtId="0" fontId="16" fillId="3" borderId="30" xfId="0" applyFont="1" applyFill="1" applyBorder="1" applyAlignment="1">
      <alignment horizontal="center"/>
    </xf>
    <xf numFmtId="0" fontId="2" fillId="2" borderId="0" xfId="0" applyFont="1" applyFill="1" applyAlignment="1">
      <alignment horizontal="center"/>
    </xf>
    <xf numFmtId="10" fontId="2" fillId="2" borderId="0" xfId="0" applyNumberFormat="1" applyFont="1" applyFill="1" applyAlignment="1">
      <alignment horizontal="center"/>
    </xf>
    <xf numFmtId="9" fontId="2" fillId="2" borderId="0" xfId="0" applyNumberFormat="1" applyFont="1" applyFill="1" applyAlignment="1">
      <alignment horizontal="center"/>
    </xf>
    <xf numFmtId="0" fontId="6" fillId="2" borderId="0" xfId="0" applyFont="1" applyFill="1" applyAlignment="1">
      <alignment horizontal="left"/>
    </xf>
    <xf numFmtId="2" fontId="17" fillId="2" borderId="0" xfId="0" applyNumberFormat="1" applyFont="1" applyFill="1" applyAlignment="1">
      <alignment horizontal="right" wrapText="1"/>
    </xf>
    <xf numFmtId="16" fontId="2" fillId="2" borderId="2" xfId="3" applyNumberFormat="1" applyFont="1" applyFill="1" applyBorder="1" applyAlignment="1">
      <alignment vertical="top" wrapText="1"/>
    </xf>
    <xf numFmtId="0" fontId="19" fillId="2" borderId="2" xfId="3" applyFont="1" applyFill="1" applyBorder="1" applyAlignment="1">
      <alignment vertical="top" wrapText="1"/>
    </xf>
    <xf numFmtId="0" fontId="7" fillId="2" borderId="2" xfId="0" quotePrefix="1" applyFont="1" applyFill="1" applyBorder="1" applyAlignment="1">
      <alignment horizontal="left" vertical="top" wrapText="1"/>
    </xf>
    <xf numFmtId="0" fontId="11" fillId="5" borderId="1" xfId="3" applyFont="1" applyFill="1" applyBorder="1" applyAlignment="1">
      <alignment horizontal="left" vertical="center" wrapText="1"/>
    </xf>
    <xf numFmtId="0" fontId="20" fillId="2" borderId="2" xfId="0" applyFont="1" applyFill="1" applyBorder="1" applyAlignment="1">
      <alignment horizontal="left" vertical="top" wrapText="1"/>
    </xf>
    <xf numFmtId="0" fontId="15" fillId="2" borderId="2" xfId="0" quotePrefix="1" applyFont="1" applyFill="1" applyBorder="1" applyAlignment="1">
      <alignment horizontal="left" vertical="top" wrapText="1"/>
    </xf>
    <xf numFmtId="0" fontId="11" fillId="2" borderId="15" xfId="0" applyFont="1" applyFill="1" applyBorder="1" applyAlignment="1">
      <alignment horizontal="left" wrapText="1"/>
    </xf>
    <xf numFmtId="0" fontId="11" fillId="2" borderId="16" xfId="0" applyFont="1" applyFill="1" applyBorder="1" applyAlignment="1">
      <alignment horizontal="left"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10" fillId="2" borderId="0" xfId="0" applyFont="1" applyFill="1" applyAlignment="1">
      <alignment horizontal="center" vertical="center" wrapText="1"/>
    </xf>
    <xf numFmtId="0" fontId="11" fillId="5" borderId="1" xfId="0" applyFont="1" applyFill="1" applyBorder="1" applyAlignment="1">
      <alignment horizontal="left" vertical="center"/>
    </xf>
    <xf numFmtId="0" fontId="11" fillId="5" borderId="21" xfId="0" applyFont="1" applyFill="1" applyBorder="1" applyAlignment="1">
      <alignment horizontal="left" vertical="center"/>
    </xf>
    <xf numFmtId="0" fontId="11" fillId="5" borderId="3" xfId="0" applyFont="1" applyFill="1" applyBorder="1" applyAlignment="1">
      <alignment horizontal="left" vertical="center"/>
    </xf>
    <xf numFmtId="0" fontId="10" fillId="2" borderId="0" xfId="0" applyFont="1" applyFill="1" applyAlignment="1">
      <alignment horizontal="left" vertical="center"/>
    </xf>
    <xf numFmtId="0" fontId="19" fillId="2" borderId="2" xfId="0" applyFont="1" applyFill="1" applyBorder="1" applyAlignment="1">
      <alignment vertical="top" wrapText="1"/>
    </xf>
    <xf numFmtId="16" fontId="2" fillId="2" borderId="2" xfId="0" applyNumberFormat="1" applyFont="1" applyFill="1" applyBorder="1" applyAlignment="1">
      <alignment vertical="top" wrapText="1"/>
    </xf>
    <xf numFmtId="0" fontId="7" fillId="2" borderId="32" xfId="0" applyFont="1" applyFill="1" applyBorder="1" applyAlignment="1">
      <alignment horizontal="left" wrapText="1"/>
    </xf>
    <xf numFmtId="0" fontId="0" fillId="0" borderId="21" xfId="0" applyBorder="1"/>
    <xf numFmtId="0" fontId="0" fillId="0" borderId="42" xfId="0" applyBorder="1"/>
    <xf numFmtId="0" fontId="9" fillId="2" borderId="32" xfId="0" applyFont="1" applyFill="1" applyBorder="1" applyAlignment="1">
      <alignment horizontal="center" vertical="center" wrapText="1"/>
    </xf>
    <xf numFmtId="0" fontId="7" fillId="2" borderId="33" xfId="0" applyFont="1" applyFill="1" applyBorder="1" applyAlignment="1">
      <alignment horizontal="left" wrapText="1"/>
    </xf>
    <xf numFmtId="0" fontId="0" fillId="0" borderId="38" xfId="0" applyBorder="1"/>
    <xf numFmtId="0" fontId="0" fillId="0" borderId="43" xfId="0" applyBorder="1"/>
    <xf numFmtId="0" fontId="15" fillId="2" borderId="31" xfId="0" applyFont="1" applyFill="1" applyBorder="1" applyAlignment="1">
      <alignment horizontal="center" vertical="center" wrapText="1"/>
    </xf>
    <xf numFmtId="0" fontId="0" fillId="0" borderId="40" xfId="0" applyBorder="1"/>
    <xf numFmtId="0" fontId="0" fillId="0" borderId="41" xfId="0" applyBorder="1"/>
    <xf numFmtId="0" fontId="7" fillId="0" borderId="2" xfId="0" applyFont="1" applyBorder="1" applyAlignment="1">
      <alignment horizontal="left" vertical="center"/>
    </xf>
    <xf numFmtId="0" fontId="0" fillId="0" borderId="34" xfId="0" applyBorder="1"/>
    <xf numFmtId="0" fontId="0" fillId="0" borderId="35" xfId="0" applyBorder="1"/>
    <xf numFmtId="0" fontId="0" fillId="0" borderId="37" xfId="0" applyBorder="1"/>
    <xf numFmtId="0" fontId="0" fillId="0" borderId="39" xfId="0" applyBorder="1"/>
    <xf numFmtId="0" fontId="7" fillId="0" borderId="2" xfId="0" applyFont="1" applyBorder="1" applyAlignment="1">
      <alignment horizontal="left"/>
    </xf>
    <xf numFmtId="0" fontId="0" fillId="0" borderId="3" xfId="0" applyBorder="1"/>
    <xf numFmtId="0" fontId="5" fillId="0" borderId="2" xfId="0" applyFont="1" applyBorder="1" applyAlignment="1">
      <alignment horizontal="center" vertical="center"/>
    </xf>
    <xf numFmtId="0" fontId="6" fillId="2" borderId="2" xfId="0" applyFont="1" applyFill="1" applyBorder="1" applyAlignment="1">
      <alignment horizontal="left" vertical="center"/>
    </xf>
    <xf numFmtId="0" fontId="0" fillId="0" borderId="36" xfId="0" applyBorder="1"/>
    <xf numFmtId="0" fontId="7" fillId="2" borderId="2" xfId="0" applyFont="1" applyFill="1" applyBorder="1" applyAlignment="1">
      <alignment vertical="top" wrapText="1"/>
    </xf>
    <xf numFmtId="1" fontId="6" fillId="2" borderId="1" xfId="0" applyNumberFormat="1" applyFont="1" applyFill="1" applyBorder="1"/>
    <xf numFmtId="1" fontId="6" fillId="2" borderId="2" xfId="0" applyNumberFormat="1" applyFont="1" applyFill="1" applyBorder="1" applyAlignment="1">
      <alignment vertical="center" wrapText="1"/>
    </xf>
    <xf numFmtId="0" fontId="7" fillId="2" borderId="2" xfId="0" applyFont="1" applyFill="1" applyBorder="1" applyAlignment="1">
      <alignment horizontal="left"/>
    </xf>
    <xf numFmtId="0" fontId="7" fillId="2" borderId="32" xfId="3" applyFont="1" applyFill="1" applyBorder="1" applyAlignment="1">
      <alignment horizontal="left" wrapText="1"/>
    </xf>
    <xf numFmtId="0" fontId="7" fillId="2" borderId="33" xfId="3" applyFont="1" applyFill="1" applyBorder="1" applyAlignment="1">
      <alignment horizontal="left" wrapText="1"/>
    </xf>
    <xf numFmtId="0" fontId="6" fillId="2" borderId="2" xfId="0" applyFont="1" applyFill="1" applyBorder="1" applyAlignment="1">
      <alignment horizontal="left"/>
    </xf>
    <xf numFmtId="0" fontId="7" fillId="2" borderId="2" xfId="2" applyFont="1" applyFill="1" applyBorder="1" applyAlignment="1">
      <alignment vertical="top"/>
    </xf>
    <xf numFmtId="0" fontId="5" fillId="2" borderId="0" xfId="2" applyFont="1" applyFill="1" applyAlignment="1">
      <alignment horizontal="center"/>
    </xf>
    <xf numFmtId="0" fontId="2" fillId="2" borderId="0" xfId="0" applyFont="1" applyFill="1"/>
  </cellXfs>
  <cellStyles count="5">
    <cellStyle name="Hyperlink" xfId="1" builtinId="8"/>
    <cellStyle name="Normal" xfId="0" builtinId="0"/>
    <cellStyle name="Normal_Functional Test Case v1.0" xfId="2" xr:uid="{00000000-0005-0000-0000-000002000000}"/>
    <cellStyle name="Normal_Sheet1" xfId="3" xr:uid="{00000000-0005-0000-0000-000003000000}"/>
    <cellStyle name="標準_結合試験(AllOvertheWorld)" xfId="4"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57150</xdr:colOff>
      <xdr:row>1</xdr:row>
      <xdr:rowOff>128588</xdr:rowOff>
    </xdr:from>
    <xdr:to>
      <xdr:col>1</xdr:col>
      <xdr:colOff>1233488</xdr:colOff>
      <xdr:row>1</xdr:row>
      <xdr:rowOff>852488</xdr:rowOff>
    </xdr:to>
    <xdr:pic>
      <xdr:nvPicPr>
        <xdr:cNvPr id="1040" name="Picture 2">
          <a:extLst>
            <a:ext uri="{FF2B5EF4-FFF2-40B4-BE49-F238E27FC236}">
              <a16:creationId xmlns:a16="http://schemas.microsoft.com/office/drawing/2014/main" id="{00000000-0008-0000-0000-000010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9550" y="290513"/>
          <a:ext cx="1176338" cy="723900"/>
        </a:xfrm>
        <a:prstGeom prst="rect">
          <a:avLst/>
        </a:prstGeom>
        <a:noFill/>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8"/>
  <sheetViews>
    <sheetView workbookViewId="0">
      <selection activeCell="F9" sqref="F9"/>
    </sheetView>
  </sheetViews>
  <sheetFormatPr defaultColWidth="9" defaultRowHeight="12.75"/>
  <cols>
    <col min="1" max="1" width="2.125" style="1" customWidth="1"/>
    <col min="2" max="2" width="19.625" style="2" customWidth="1"/>
    <col min="3" max="3" width="9.125" style="1" customWidth="1"/>
    <col min="4" max="4" width="14.5" style="1" customWidth="1"/>
    <col min="5" max="5" width="8" style="1" customWidth="1"/>
    <col min="6" max="6" width="31.125" style="1" customWidth="1"/>
    <col min="7" max="7" width="31" style="1" customWidth="1"/>
    <col min="8" max="9" width="9" style="1" customWidth="1"/>
    <col min="10" max="16384" width="9" style="1"/>
  </cols>
  <sheetData>
    <row r="2" spans="1:7" s="5" customFormat="1" ht="75.75" customHeight="1">
      <c r="A2" s="3"/>
      <c r="B2" s="4"/>
      <c r="C2" s="155" t="s">
        <v>325</v>
      </c>
      <c r="D2" s="139"/>
      <c r="E2" s="139"/>
      <c r="F2" s="139"/>
      <c r="G2" s="154"/>
    </row>
    <row r="3" spans="1:7">
      <c r="B3" s="6"/>
      <c r="C3" s="7"/>
      <c r="F3" s="8"/>
    </row>
    <row r="4" spans="1:7" ht="14.25" customHeight="1">
      <c r="B4" s="9" t="s">
        <v>326</v>
      </c>
      <c r="C4" s="153" t="s">
        <v>327</v>
      </c>
      <c r="D4" s="139"/>
      <c r="E4" s="154"/>
      <c r="F4" s="9" t="s">
        <v>328</v>
      </c>
      <c r="G4" s="10"/>
    </row>
    <row r="5" spans="1:7" ht="14.25" customHeight="1">
      <c r="B5" s="9" t="s">
        <v>329</v>
      </c>
      <c r="C5" s="153" t="s">
        <v>330</v>
      </c>
      <c r="D5" s="139"/>
      <c r="E5" s="154"/>
      <c r="F5" s="9" t="s">
        <v>331</v>
      </c>
      <c r="G5" s="10"/>
    </row>
    <row r="6" spans="1:7" ht="15.75" customHeight="1">
      <c r="B6" s="156" t="s">
        <v>332</v>
      </c>
      <c r="C6" s="148" t="str">
        <f>C5&amp;"_"&amp;"XXX"&amp;"_"&amp;"vx.x"</f>
        <v>&lt;Project Code&gt;_XXX_vx.x</v>
      </c>
      <c r="D6" s="149"/>
      <c r="E6" s="150"/>
      <c r="F6" s="9" t="s">
        <v>333</v>
      </c>
      <c r="G6" s="12"/>
    </row>
    <row r="7" spans="1:7" ht="13.5" customHeight="1">
      <c r="B7" s="157"/>
      <c r="C7" s="151"/>
      <c r="D7" s="143"/>
      <c r="E7" s="152"/>
      <c r="F7" s="9" t="s">
        <v>334</v>
      </c>
      <c r="G7" s="12"/>
    </row>
    <row r="8" spans="1:7">
      <c r="B8" s="13"/>
      <c r="C8" s="14"/>
      <c r="F8" s="6"/>
      <c r="G8" s="7"/>
    </row>
    <row r="10" spans="1:7">
      <c r="B10" s="15" t="s">
        <v>335</v>
      </c>
    </row>
    <row r="11" spans="1:7" s="16" customFormat="1">
      <c r="B11" s="17" t="s">
        <v>336</v>
      </c>
      <c r="C11" s="18" t="s">
        <v>334</v>
      </c>
      <c r="D11" s="18" t="s">
        <v>337</v>
      </c>
      <c r="E11" s="18" t="s">
        <v>338</v>
      </c>
      <c r="F11" s="18" t="s">
        <v>339</v>
      </c>
      <c r="G11" s="19" t="s">
        <v>340</v>
      </c>
    </row>
    <row r="12" spans="1:7" s="20" customFormat="1" ht="25.5" customHeight="1">
      <c r="B12" s="21" t="s">
        <v>341</v>
      </c>
      <c r="C12" s="22"/>
      <c r="D12" s="23"/>
      <c r="E12" s="23"/>
      <c r="F12" s="24"/>
      <c r="G12" s="25" t="s">
        <v>342</v>
      </c>
    </row>
    <row r="13" spans="1:7" s="20" customFormat="1" ht="21.75" customHeight="1">
      <c r="B13" s="26"/>
      <c r="C13" s="22"/>
      <c r="D13" s="23"/>
      <c r="E13" s="23"/>
      <c r="F13" s="23"/>
      <c r="G13" s="27"/>
    </row>
    <row r="14" spans="1:7" s="20" customFormat="1" ht="19.5" customHeight="1">
      <c r="B14" s="26"/>
      <c r="C14" s="22"/>
      <c r="D14" s="23"/>
      <c r="E14" s="23"/>
      <c r="F14" s="23"/>
      <c r="G14" s="27"/>
    </row>
    <row r="15" spans="1:7" s="20" customFormat="1" ht="21.75" customHeight="1">
      <c r="B15" s="26"/>
      <c r="C15" s="22"/>
      <c r="D15" s="23"/>
      <c r="E15" s="23"/>
      <c r="F15" s="23"/>
      <c r="G15" s="27"/>
    </row>
    <row r="16" spans="1:7" s="20" customFormat="1" ht="19.5" customHeight="1">
      <c r="B16" s="26"/>
      <c r="C16" s="22"/>
      <c r="D16" s="23"/>
      <c r="E16" s="23"/>
      <c r="F16" s="23"/>
      <c r="G16" s="27"/>
    </row>
    <row r="17" spans="2:7" s="20" customFormat="1" ht="21.75" customHeight="1">
      <c r="B17" s="26"/>
      <c r="C17" s="22"/>
      <c r="D17" s="23"/>
      <c r="E17" s="23"/>
      <c r="F17" s="23"/>
      <c r="G17" s="27"/>
    </row>
    <row r="18" spans="2:7" s="20" customFormat="1" ht="19.5" customHeight="1">
      <c r="B18" s="28"/>
      <c r="C18" s="29"/>
      <c r="D18" s="30"/>
      <c r="E18" s="30"/>
      <c r="F18" s="30"/>
      <c r="G18" s="31"/>
    </row>
  </sheetData>
  <mergeCells count="5">
    <mergeCell ref="C6:E7"/>
    <mergeCell ref="C5:E5"/>
    <mergeCell ref="C2:G2"/>
    <mergeCell ref="C4:E4"/>
    <mergeCell ref="B6:B7"/>
  </mergeCells>
  <pageMargins left="0.47013888888888888" right="0.47013888888888888" top="0.5" bottom="0.35138888888888892" header="0.51180555555555562" footer="0.1701388888888889"/>
  <pageSetup paperSize="9" firstPageNumber="0" orientation="landscape" horizontalDpi="300" verticalDpi="300"/>
  <headerFooter alignWithMargins="0">
    <oddFooter>&amp;L&amp;"Tahoma,Regular"&amp;8 02ae-BM/PM/HDCV/FSOFT v2/0&amp;C&amp;"Tahoma,Regular"&amp;8 Internal use&amp;R&amp;"tahomaTahoma,Regular"&amp;8 &amp;P/&amp;N</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1"/>
  <sheetViews>
    <sheetView workbookViewId="0">
      <selection activeCell="D9" sqref="D9"/>
    </sheetView>
  </sheetViews>
  <sheetFormatPr defaultColWidth="9" defaultRowHeight="12.75"/>
  <cols>
    <col min="1" max="1" width="1.375" style="8" customWidth="1"/>
    <col min="2" max="2" width="11.625" style="32" customWidth="1"/>
    <col min="3" max="3" width="26.5" style="33" customWidth="1"/>
    <col min="4" max="4" width="17.125" style="33" customWidth="1"/>
    <col min="5" max="5" width="28.125" style="33" customWidth="1"/>
    <col min="6" max="6" width="30.625" style="33" customWidth="1"/>
    <col min="7" max="8" width="9" style="8" customWidth="1"/>
    <col min="9" max="16384" width="9" style="8"/>
  </cols>
  <sheetData>
    <row r="1" spans="2:6" ht="24.4" customHeight="1">
      <c r="B1" s="34"/>
      <c r="D1" s="35" t="s">
        <v>343</v>
      </c>
      <c r="E1" s="36"/>
    </row>
    <row r="2" spans="2:6" ht="13.5" customHeight="1">
      <c r="B2" s="34"/>
      <c r="D2" s="37"/>
      <c r="E2" s="37"/>
    </row>
    <row r="3" spans="2:6" ht="14.25" customHeight="1">
      <c r="B3" s="159" t="s">
        <v>326</v>
      </c>
      <c r="C3" s="139"/>
      <c r="D3" s="161" t="str">
        <f>Cover!C4</f>
        <v>&lt;Project Name&gt;</v>
      </c>
      <c r="E3" s="139"/>
      <c r="F3" s="154"/>
    </row>
    <row r="4" spans="2:6" ht="14.25" customHeight="1">
      <c r="B4" s="159" t="s">
        <v>329</v>
      </c>
      <c r="C4" s="139"/>
      <c r="D4" s="161" t="str">
        <f>Cover!C5</f>
        <v>&lt;Project Code&gt;</v>
      </c>
      <c r="E4" s="139"/>
      <c r="F4" s="154"/>
    </row>
    <row r="5" spans="2:6" s="38" customFormat="1" ht="84.75" customHeight="1">
      <c r="B5" s="160" t="s">
        <v>344</v>
      </c>
      <c r="C5" s="154"/>
      <c r="D5" s="158" t="s">
        <v>345</v>
      </c>
      <c r="E5" s="139"/>
      <c r="F5" s="154"/>
    </row>
    <row r="6" spans="2:6">
      <c r="B6" s="39"/>
      <c r="C6" s="8"/>
      <c r="D6" s="8"/>
      <c r="E6" s="8"/>
      <c r="F6" s="8"/>
    </row>
    <row r="7" spans="2:6" s="40" customFormat="1">
      <c r="B7" s="41"/>
      <c r="C7" s="42"/>
      <c r="D7" s="42"/>
      <c r="E7" s="42"/>
      <c r="F7" s="42"/>
    </row>
    <row r="8" spans="2:6" s="43" customFormat="1" ht="21" customHeight="1">
      <c r="B8" s="44" t="s">
        <v>346</v>
      </c>
      <c r="C8" s="45" t="s">
        <v>347</v>
      </c>
      <c r="D8" s="45" t="s">
        <v>348</v>
      </c>
      <c r="E8" s="46" t="s">
        <v>349</v>
      </c>
      <c r="F8" s="47" t="s">
        <v>350</v>
      </c>
    </row>
    <row r="9" spans="2:6">
      <c r="B9" s="48">
        <v>1</v>
      </c>
      <c r="C9" s="49" t="s">
        <v>351</v>
      </c>
      <c r="D9" s="50" t="s">
        <v>352</v>
      </c>
      <c r="E9" s="50"/>
      <c r="F9" s="51"/>
    </row>
    <row r="10" spans="2:6">
      <c r="B10" s="48">
        <v>2</v>
      </c>
      <c r="C10" s="49" t="s">
        <v>353</v>
      </c>
      <c r="D10" s="50" t="s">
        <v>352</v>
      </c>
      <c r="E10" s="50"/>
      <c r="F10" s="51"/>
    </row>
    <row r="11" spans="2:6">
      <c r="B11" s="48">
        <v>3</v>
      </c>
      <c r="C11" s="49" t="s">
        <v>354</v>
      </c>
      <c r="D11" s="50" t="s">
        <v>352</v>
      </c>
      <c r="E11" s="50"/>
      <c r="F11" s="51"/>
    </row>
    <row r="12" spans="2:6">
      <c r="B12" s="48">
        <v>4</v>
      </c>
      <c r="C12" s="49" t="s">
        <v>355</v>
      </c>
      <c r="D12" s="50" t="s">
        <v>356</v>
      </c>
      <c r="E12" s="50"/>
      <c r="F12" s="51"/>
    </row>
    <row r="13" spans="2:6">
      <c r="B13" s="48">
        <v>5</v>
      </c>
      <c r="C13" s="49" t="s">
        <v>357</v>
      </c>
      <c r="D13" s="50" t="s">
        <v>356</v>
      </c>
      <c r="E13" s="50"/>
      <c r="F13" s="51"/>
    </row>
    <row r="14" spans="2:6">
      <c r="B14" s="48"/>
      <c r="C14" s="49"/>
      <c r="D14" s="52"/>
      <c r="E14" s="52"/>
      <c r="F14" s="51"/>
    </row>
    <row r="15" spans="2:6">
      <c r="B15" s="48"/>
      <c r="C15" s="49"/>
      <c r="D15" s="52"/>
      <c r="E15" s="52"/>
      <c r="F15" s="51"/>
    </row>
    <row r="16" spans="2:6">
      <c r="B16" s="48"/>
      <c r="C16" s="49"/>
      <c r="D16" s="52"/>
      <c r="E16" s="52"/>
      <c r="F16" s="51"/>
    </row>
    <row r="17" spans="2:6">
      <c r="B17" s="48"/>
      <c r="C17" s="49"/>
      <c r="D17" s="52"/>
      <c r="E17" s="52"/>
      <c r="F17" s="51"/>
    </row>
    <row r="18" spans="2:6">
      <c r="B18" s="48"/>
      <c r="C18" s="49"/>
      <c r="D18" s="52"/>
      <c r="E18" s="52"/>
      <c r="F18" s="51"/>
    </row>
    <row r="19" spans="2:6">
      <c r="B19" s="48"/>
      <c r="C19" s="49"/>
      <c r="D19" s="52"/>
      <c r="E19" s="52"/>
      <c r="F19" s="51"/>
    </row>
    <row r="20" spans="2:6">
      <c r="B20" s="48"/>
      <c r="C20" s="49"/>
      <c r="D20" s="52"/>
      <c r="E20" s="52"/>
      <c r="F20" s="51"/>
    </row>
    <row r="21" spans="2:6">
      <c r="B21" s="53"/>
      <c r="C21" s="54"/>
      <c r="D21" s="55"/>
      <c r="E21" s="55"/>
      <c r="F21" s="56"/>
    </row>
  </sheetData>
  <mergeCells count="6">
    <mergeCell ref="D5:F5"/>
    <mergeCell ref="B3:C3"/>
    <mergeCell ref="B5:C5"/>
    <mergeCell ref="D4:F4"/>
    <mergeCell ref="D3:F3"/>
    <mergeCell ref="B4:C4"/>
  </mergeCells>
  <hyperlinks>
    <hyperlink ref="D9" location="Module1!B10" display="Module1" xr:uid="{00000000-0004-0000-0100-000000000000}"/>
    <hyperlink ref="D10" location="Module1!B14" display="Module1" xr:uid="{00000000-0004-0000-0100-000001000000}"/>
    <hyperlink ref="D11" location="Module1!B17" display="Module1" xr:uid="{00000000-0004-0000-0100-000002000000}"/>
    <hyperlink ref="D12" location="Module2!B10" display="Module2" xr:uid="{00000000-0004-0000-0100-000003000000}"/>
    <hyperlink ref="D13" location="Module2!B14" display="Module2" xr:uid="{00000000-0004-0000-0100-000004000000}"/>
  </hyperlinks>
  <pageMargins left="0.74791666666666667" right="0.74791666666666667" top="0.98402777777777783" bottom="1.150694444444444" header="0.51180555555555562" footer="0.98402777777777783"/>
  <pageSetup paperSize="9" firstPageNumber="0" orientation="landscape" horizontalDpi="300" verticalDpi="300"/>
  <headerFooter alignWithMargins="0">
    <oddFooter>&amp;L&amp;"Tahoma,Regular"&amp;8 02ae-BM/PM/HDCV/FSOFT v2/0&amp;C&amp;"tahoma,Regular"&amp;8 Internal use&amp;R&amp;"tahoma,Regular"&amp;8 &amp;P/&amp;N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
  <sheetViews>
    <sheetView topLeftCell="B1" workbookViewId="0">
      <pane ySplit="8" topLeftCell="A9" activePane="bottomLeft" state="frozen"/>
      <selection pane="bottomLeft" activeCell="C16" sqref="C16"/>
    </sheetView>
  </sheetViews>
  <sheetFormatPr defaultColWidth="9" defaultRowHeight="12.75"/>
  <cols>
    <col min="1" max="1" width="11.625" style="8" customWidth="1"/>
    <col min="2" max="2" width="19.125" style="8" customWidth="1"/>
    <col min="3" max="3" width="25.625" style="8" customWidth="1"/>
    <col min="4" max="4" width="28.5" style="8" customWidth="1"/>
    <col min="5" max="5" width="16.75" style="8" customWidth="1"/>
    <col min="6" max="6" width="9" style="8" customWidth="1"/>
    <col min="7" max="7" width="7.125" style="8" customWidth="1"/>
    <col min="8" max="8" width="15.125" style="8" customWidth="1"/>
    <col min="9" max="9" width="17.625" style="8" customWidth="1"/>
    <col min="10" max="10" width="8.125" style="57" customWidth="1"/>
    <col min="11" max="11" width="0" style="8" hidden="1"/>
    <col min="12" max="13" width="9" style="8" customWidth="1"/>
    <col min="14" max="16384" width="9" style="8"/>
  </cols>
  <sheetData>
    <row r="1" spans="1:11" s="63" customFormat="1">
      <c r="A1" s="58"/>
      <c r="B1" s="59"/>
      <c r="C1" s="59"/>
      <c r="D1" s="59"/>
      <c r="E1" s="59"/>
      <c r="F1" s="59"/>
      <c r="G1" s="60"/>
      <c r="H1" s="61"/>
      <c r="I1" s="38"/>
      <c r="J1" s="62"/>
    </row>
    <row r="2" spans="1:11" s="63" customFormat="1" ht="15" customHeight="1">
      <c r="A2" s="64" t="s">
        <v>0</v>
      </c>
      <c r="B2" s="162" t="s">
        <v>358</v>
      </c>
      <c r="C2" s="139"/>
      <c r="D2" s="139"/>
      <c r="E2" s="139"/>
      <c r="F2" s="139"/>
      <c r="G2" s="140"/>
      <c r="H2" s="38"/>
      <c r="I2" s="38"/>
      <c r="J2" s="62"/>
      <c r="K2" s="63" t="s">
        <v>2</v>
      </c>
    </row>
    <row r="3" spans="1:11" s="63" customFormat="1" ht="25.5" customHeight="1">
      <c r="A3" s="65" t="s">
        <v>3</v>
      </c>
      <c r="B3" s="162" t="s">
        <v>359</v>
      </c>
      <c r="C3" s="139"/>
      <c r="D3" s="139"/>
      <c r="E3" s="139"/>
      <c r="F3" s="139"/>
      <c r="G3" s="140"/>
      <c r="H3" s="38"/>
      <c r="I3" s="38"/>
      <c r="J3" s="62"/>
      <c r="K3" s="63" t="s">
        <v>5</v>
      </c>
    </row>
    <row r="4" spans="1:11" s="63" customFormat="1" ht="18" customHeight="1">
      <c r="A4" s="64" t="s">
        <v>6</v>
      </c>
      <c r="B4" s="163"/>
      <c r="C4" s="143"/>
      <c r="D4" s="143"/>
      <c r="E4" s="143"/>
      <c r="F4" s="143"/>
      <c r="G4" s="144"/>
      <c r="H4" s="38"/>
      <c r="I4" s="38"/>
      <c r="J4" s="62"/>
      <c r="K4" s="66"/>
    </row>
    <row r="5" spans="1:11" s="63" customFormat="1" ht="19.5" customHeight="1">
      <c r="A5" s="67" t="s">
        <v>2</v>
      </c>
      <c r="B5" s="68" t="s">
        <v>5</v>
      </c>
      <c r="C5" s="68" t="s">
        <v>9</v>
      </c>
      <c r="D5" s="69" t="s">
        <v>10</v>
      </c>
      <c r="E5" s="141" t="s">
        <v>11</v>
      </c>
      <c r="F5" s="139"/>
      <c r="G5" s="140"/>
      <c r="H5" s="70"/>
      <c r="I5" s="70"/>
      <c r="J5" s="71"/>
      <c r="K5" s="63" t="s">
        <v>8</v>
      </c>
    </row>
    <row r="6" spans="1:11" s="63" customFormat="1" ht="15" customHeight="1">
      <c r="A6" s="72">
        <f>COUNTIF(G10:G998,"Pass")</f>
        <v>0</v>
      </c>
      <c r="B6" s="73">
        <f>COUNTIF(G10:G998,"Fail")</f>
        <v>0</v>
      </c>
      <c r="C6" s="73">
        <f>E6-D6-B6-A6</f>
        <v>6</v>
      </c>
      <c r="D6" s="74">
        <f>COUNTIF(G$10:G$998,"N/A")</f>
        <v>0</v>
      </c>
      <c r="E6" s="145">
        <f>COUNTA(A10:A998)</f>
        <v>6</v>
      </c>
      <c r="F6" s="146"/>
      <c r="G6" s="147"/>
      <c r="H6" s="70"/>
      <c r="I6" s="70"/>
      <c r="J6" s="71"/>
      <c r="K6" s="63" t="s">
        <v>10</v>
      </c>
    </row>
    <row r="7" spans="1:11" s="63" customFormat="1" ht="15" customHeight="1">
      <c r="D7" s="75"/>
      <c r="E7" s="75"/>
      <c r="F7" s="75"/>
      <c r="G7" s="70"/>
      <c r="H7" s="70"/>
      <c r="I7" s="70"/>
      <c r="J7" s="71"/>
    </row>
    <row r="8" spans="1:11" s="63" customFormat="1" ht="25.5" customHeight="1">
      <c r="A8" s="76" t="s">
        <v>12</v>
      </c>
      <c r="B8" s="76" t="s">
        <v>13</v>
      </c>
      <c r="C8" s="76" t="s">
        <v>14</v>
      </c>
      <c r="D8" s="76" t="s">
        <v>15</v>
      </c>
      <c r="E8" s="77" t="s">
        <v>16</v>
      </c>
      <c r="F8" s="77" t="s">
        <v>17</v>
      </c>
      <c r="G8" s="77" t="s">
        <v>18</v>
      </c>
      <c r="H8" s="77" t="s">
        <v>19</v>
      </c>
      <c r="I8" s="76" t="s">
        <v>20</v>
      </c>
      <c r="J8" s="78"/>
    </row>
    <row r="9" spans="1:11" s="63" customFormat="1" ht="15.75" customHeight="1">
      <c r="A9" s="79"/>
      <c r="B9" s="79" t="s">
        <v>351</v>
      </c>
      <c r="C9" s="80"/>
      <c r="D9" s="80"/>
      <c r="E9" s="80"/>
      <c r="F9" s="80"/>
      <c r="G9" s="80"/>
      <c r="H9" s="80"/>
      <c r="I9" s="81"/>
      <c r="J9" s="82"/>
    </row>
    <row r="10" spans="1:11" s="88" customFormat="1" ht="120.75" customHeight="1">
      <c r="A10" s="83" t="str">
        <f>IF(OR(B10&lt;&gt;"",D10&lt;&gt;""),"["&amp;TEXT($B$2,"##")&amp;"-"&amp;TEXT(ROW()-10,"##")&amp;"]","")</f>
        <v>[Module1 -]</v>
      </c>
      <c r="B10" s="84" t="s">
        <v>360</v>
      </c>
      <c r="C10" s="84" t="s">
        <v>361</v>
      </c>
      <c r="D10" s="85" t="s">
        <v>362</v>
      </c>
      <c r="E10" s="85" t="s">
        <v>363</v>
      </c>
      <c r="F10" s="85"/>
      <c r="G10" s="83"/>
      <c r="H10" s="83"/>
      <c r="I10" s="86"/>
      <c r="J10" s="87"/>
    </row>
    <row r="11" spans="1:11">
      <c r="A11" s="83" t="str">
        <f>IF(OR(B11&lt;&gt;"",D11&lt;&gt;""),"["&amp;TEXT($B$2,"##")&amp;"-"&amp;TEXT(ROW()-10,"##")&amp;"]","")</f>
        <v>[Module1 -1]</v>
      </c>
      <c r="B11" s="83" t="s">
        <v>364</v>
      </c>
      <c r="C11" s="83"/>
      <c r="D11" s="89"/>
      <c r="E11" s="89"/>
      <c r="F11" s="89"/>
      <c r="G11" s="83"/>
      <c r="H11" s="83"/>
      <c r="I11" s="86"/>
      <c r="J11" s="87"/>
    </row>
    <row r="12" spans="1:11">
      <c r="A12" s="83" t="str">
        <f>IF(OR(B12&lt;&gt;"",D12&lt;&gt;""),"["&amp;TEXT($B$2,"##")&amp;"-"&amp;TEXT(ROW()-10,"##")&amp;"]","")</f>
        <v>[Module1 -2]</v>
      </c>
      <c r="B12" s="83" t="s">
        <v>365</v>
      </c>
      <c r="C12" s="83"/>
      <c r="D12" s="89"/>
      <c r="E12" s="89"/>
      <c r="F12" s="89"/>
      <c r="G12" s="83"/>
      <c r="H12" s="83"/>
      <c r="I12" s="86"/>
      <c r="J12" s="87"/>
    </row>
    <row r="13" spans="1:11" s="63" customFormat="1" ht="15.75" customHeight="1">
      <c r="A13" s="80"/>
      <c r="B13" s="79" t="s">
        <v>353</v>
      </c>
      <c r="C13" s="80"/>
      <c r="D13" s="80"/>
      <c r="E13" s="80"/>
      <c r="F13" s="80"/>
      <c r="G13" s="80"/>
      <c r="H13" s="80"/>
      <c r="I13" s="81"/>
      <c r="J13" s="82"/>
    </row>
    <row r="14" spans="1:11">
      <c r="A14" s="83" t="str">
        <f>IF(OR(B14&lt;&gt;"",D14&lt;&gt;""),"["&amp;TEXT($B$2,"##")&amp;"-"&amp;TEXT(ROW()-11,"##")&amp;"]","")</f>
        <v>[Module1 -3]</v>
      </c>
      <c r="B14" s="83" t="s">
        <v>366</v>
      </c>
      <c r="C14" s="83"/>
      <c r="D14" s="83"/>
      <c r="E14" s="83"/>
      <c r="F14" s="83"/>
      <c r="G14" s="83"/>
      <c r="H14" s="83"/>
      <c r="I14" s="86"/>
      <c r="J14" s="87"/>
    </row>
    <row r="15" spans="1:11">
      <c r="A15" s="83" t="str">
        <f>IF(OR(B15&lt;&gt;"",D15&lt;&gt;""),"["&amp;TEXT($B$2,"##")&amp;"-"&amp;TEXT(ROW()-11,"##")&amp;"]","")</f>
        <v>[Module1 -4]</v>
      </c>
      <c r="B15" s="83" t="s">
        <v>367</v>
      </c>
      <c r="C15" s="83"/>
      <c r="D15" s="83"/>
      <c r="E15" s="83"/>
      <c r="F15" s="83"/>
      <c r="G15" s="83"/>
      <c r="H15" s="90"/>
      <c r="I15" s="90"/>
    </row>
    <row r="16" spans="1:11" s="63" customFormat="1" ht="15.75" customHeight="1">
      <c r="A16" s="79"/>
      <c r="B16" s="79" t="s">
        <v>354</v>
      </c>
      <c r="C16" s="80"/>
      <c r="D16" s="80"/>
      <c r="E16" s="80"/>
      <c r="F16" s="80"/>
      <c r="G16" s="80"/>
      <c r="H16" s="80"/>
      <c r="I16" s="81"/>
      <c r="J16" s="82"/>
    </row>
    <row r="17" spans="1:10">
      <c r="A17" s="83" t="str">
        <f>IF(OR(B17&lt;&gt;"",D17&lt;&gt;""),"["&amp;TEXT($B$2,"##")&amp;"-"&amp;TEXT(ROW()-12,"##")&amp;"]","")</f>
        <v>[Module1 -5]</v>
      </c>
      <c r="B17" s="83" t="s">
        <v>368</v>
      </c>
      <c r="C17" s="83"/>
      <c r="D17" s="83"/>
      <c r="E17" s="83"/>
      <c r="F17" s="83"/>
      <c r="G17" s="83"/>
      <c r="H17" s="83"/>
      <c r="I17" s="86"/>
      <c r="J17" s="87"/>
    </row>
  </sheetData>
  <autoFilter ref="A8:I16" xr:uid="{00000000-0009-0000-0000-000002000000}"/>
  <mergeCells count="5">
    <mergeCell ref="B3:G3"/>
    <mergeCell ref="B2:G2"/>
    <mergeCell ref="E5:G5"/>
    <mergeCell ref="B4:G4"/>
    <mergeCell ref="E6:G6"/>
  </mergeCells>
  <dataValidations count="1">
    <dataValidation type="list" allowBlank="1" showErrorMessage="1" sqref="G1:G3 G7:G145" xr:uid="{00000000-0002-0000-0200-000000000000}">
      <formula1>$K$2:$K$6</formula1>
      <formula2>0</formula2>
    </dataValidation>
  </dataValidations>
  <pageMargins left="0.74791666666666667" right="0.25" top="1" bottom="0.98402777777777772" header="0.5" footer="0.5"/>
  <pageSetup paperSize="9" firstPageNumber="0" orientation="landscape" horizontalDpi="300" verticalDpi="300"/>
  <headerFooter alignWithMargins="0">
    <oddHeader>&amp;LFacilitate_Test Case\Company&amp;Rv1.0</oddHeader>
    <oddFooter>&amp;L&amp;"Tahoma,Regular"&amp;8 02ae-BM/PM/HDCV/FSOFT v2/0&amp;C&amp;"Tahoma,Regular"&amp;10 Internal use&amp;R&amp;"Tahoma,Regular"&amp;8 &amp;P/&amp;N</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workbookViewId="0">
      <selection activeCell="C6" sqref="C6:H6"/>
    </sheetView>
  </sheetViews>
  <sheetFormatPr defaultColWidth="9" defaultRowHeight="12.75"/>
  <cols>
    <col min="1" max="1" width="9" style="8" customWidth="1"/>
    <col min="2" max="2" width="13.5" style="8" customWidth="1"/>
    <col min="3" max="3" width="19.375" style="8" customWidth="1"/>
    <col min="4" max="7" width="9" style="8" customWidth="1"/>
    <col min="8" max="9" width="33.125" style="8" customWidth="1"/>
    <col min="10" max="11" width="9" style="8" customWidth="1"/>
    <col min="12" max="16384" width="9" style="8"/>
  </cols>
  <sheetData>
    <row r="1" spans="1:8" ht="25.5" customHeight="1">
      <c r="B1" s="166" t="s">
        <v>369</v>
      </c>
      <c r="C1" s="167"/>
      <c r="D1" s="167"/>
      <c r="E1" s="167"/>
      <c r="F1" s="167"/>
      <c r="G1" s="167"/>
      <c r="H1" s="167"/>
    </row>
    <row r="2" spans="1:8" ht="14.25" customHeight="1">
      <c r="A2" s="93"/>
      <c r="B2" s="93"/>
      <c r="C2" s="94"/>
      <c r="D2" s="94"/>
      <c r="E2" s="94"/>
      <c r="F2" s="94"/>
      <c r="G2" s="94"/>
      <c r="H2" s="95"/>
    </row>
    <row r="3" spans="1:8" ht="12" customHeight="1">
      <c r="B3" s="11" t="s">
        <v>326</v>
      </c>
      <c r="C3" s="161" t="str">
        <f>Cover!C4</f>
        <v>&lt;Project Name&gt;</v>
      </c>
      <c r="D3" s="154"/>
      <c r="E3" s="164" t="s">
        <v>328</v>
      </c>
      <c r="F3" s="154"/>
      <c r="G3" s="96"/>
      <c r="H3" s="97"/>
    </row>
    <row r="4" spans="1:8" ht="12" customHeight="1">
      <c r="B4" s="11" t="s">
        <v>329</v>
      </c>
      <c r="C4" s="161" t="str">
        <f>Cover!C5</f>
        <v>&lt;Project Code&gt;</v>
      </c>
      <c r="D4" s="154"/>
      <c r="E4" s="164" t="s">
        <v>331</v>
      </c>
      <c r="F4" s="154"/>
      <c r="G4" s="96"/>
      <c r="H4" s="97"/>
    </row>
    <row r="5" spans="1:8" ht="12" customHeight="1">
      <c r="B5" s="98" t="s">
        <v>332</v>
      </c>
      <c r="C5" s="161" t="str">
        <f>C4&amp;"_"&amp;"Test Report"&amp;"_"&amp;"vx.x"</f>
        <v>&lt;Project Code&gt;_Test Report_vx.x</v>
      </c>
      <c r="D5" s="154"/>
      <c r="E5" s="164" t="s">
        <v>333</v>
      </c>
      <c r="F5" s="154"/>
      <c r="G5" s="96"/>
      <c r="H5" s="99" t="s">
        <v>370</v>
      </c>
    </row>
    <row r="6" spans="1:8" ht="21.75" customHeight="1">
      <c r="A6" s="93"/>
      <c r="B6" s="98" t="s">
        <v>371</v>
      </c>
      <c r="C6" s="165" t="s">
        <v>372</v>
      </c>
      <c r="D6" s="139"/>
      <c r="E6" s="139"/>
      <c r="F6" s="139"/>
      <c r="G6" s="139"/>
      <c r="H6" s="154"/>
    </row>
    <row r="7" spans="1:8" ht="14.25" customHeight="1">
      <c r="A7" s="93"/>
      <c r="B7" s="13"/>
      <c r="C7" s="100"/>
      <c r="D7" s="94"/>
      <c r="E7" s="94"/>
      <c r="F7" s="94"/>
      <c r="G7" s="94"/>
      <c r="H7" s="95"/>
    </row>
    <row r="8" spans="1:8">
      <c r="B8" s="13"/>
      <c r="C8" s="100"/>
      <c r="D8" s="94"/>
      <c r="E8" s="94"/>
      <c r="F8" s="94"/>
      <c r="G8" s="94"/>
      <c r="H8" s="95"/>
    </row>
    <row r="10" spans="1:8">
      <c r="A10" s="101"/>
      <c r="B10" s="102" t="s">
        <v>346</v>
      </c>
      <c r="C10" s="103" t="s">
        <v>373</v>
      </c>
      <c r="D10" s="104" t="s">
        <v>2</v>
      </c>
      <c r="E10" s="103" t="s">
        <v>5</v>
      </c>
      <c r="F10" s="103" t="s">
        <v>9</v>
      </c>
      <c r="G10" s="105" t="s">
        <v>10</v>
      </c>
      <c r="H10" s="106" t="s">
        <v>374</v>
      </c>
    </row>
    <row r="11" spans="1:8">
      <c r="A11" s="101"/>
      <c r="B11" s="107">
        <v>1</v>
      </c>
      <c r="C11" s="108" t="str">
        <f>BC!B2</f>
        <v xml:space="preserve">Module1 </v>
      </c>
      <c r="D11" s="109">
        <f>BC!A6</f>
        <v>0</v>
      </c>
      <c r="E11" s="109">
        <f>BC!B6</f>
        <v>0</v>
      </c>
      <c r="F11" s="109">
        <f>BC!C6</f>
        <v>6</v>
      </c>
      <c r="G11" s="110">
        <f>BC!D6</f>
        <v>0</v>
      </c>
      <c r="H11" s="111">
        <f>BC!E6</f>
        <v>6</v>
      </c>
    </row>
    <row r="12" spans="1:8">
      <c r="A12" s="101"/>
      <c r="B12" s="107">
        <v>2</v>
      </c>
      <c r="C12" s="108" t="e">
        <f>#REF!</f>
        <v>#REF!</v>
      </c>
      <c r="D12" s="109" t="e">
        <f>#REF!</f>
        <v>#REF!</v>
      </c>
      <c r="E12" s="109" t="e">
        <f>#REF!</f>
        <v>#REF!</v>
      </c>
      <c r="F12" s="109" t="e">
        <f>#REF!</f>
        <v>#REF!</v>
      </c>
      <c r="G12" s="110" t="e">
        <f>#REF!</f>
        <v>#REF!</v>
      </c>
      <c r="H12" s="111" t="e">
        <f>#REF!</f>
        <v>#REF!</v>
      </c>
    </row>
    <row r="13" spans="1:8">
      <c r="A13" s="101"/>
      <c r="B13" s="107"/>
      <c r="C13" s="108"/>
      <c r="D13" s="109"/>
      <c r="E13" s="109"/>
      <c r="F13" s="109"/>
      <c r="G13" s="110"/>
      <c r="H13" s="111"/>
    </row>
    <row r="14" spans="1:8">
      <c r="A14" s="101"/>
      <c r="B14" s="112"/>
      <c r="C14" s="113" t="s">
        <v>375</v>
      </c>
      <c r="D14" s="114" t="e">
        <f>SUM(D9:D13)</f>
        <v>#REF!</v>
      </c>
      <c r="E14" s="114" t="e">
        <f>SUM(E9:E13)</f>
        <v>#REF!</v>
      </c>
      <c r="F14" s="114" t="e">
        <f>SUM(F9:F13)</f>
        <v>#REF!</v>
      </c>
      <c r="G14" s="114" t="e">
        <f>SUM(G9:G13)</f>
        <v>#REF!</v>
      </c>
      <c r="H14" s="115" t="e">
        <f>SUM(H9:H13)</f>
        <v>#REF!</v>
      </c>
    </row>
    <row r="15" spans="1:8">
      <c r="B15" s="116"/>
      <c r="D15" s="117"/>
      <c r="E15" s="118"/>
      <c r="F15" s="118"/>
      <c r="G15" s="118"/>
      <c r="H15" s="118"/>
    </row>
    <row r="16" spans="1:8">
      <c r="C16" s="119" t="s">
        <v>376</v>
      </c>
      <c r="E16" s="120" t="e">
        <f>(D14+E14)*100/(H14-G14)</f>
        <v>#REF!</v>
      </c>
      <c r="F16" s="8" t="s">
        <v>377</v>
      </c>
      <c r="H16" s="75"/>
    </row>
    <row r="17" spans="3:8">
      <c r="C17" s="119" t="s">
        <v>378</v>
      </c>
      <c r="E17" s="120" t="e">
        <f>D14*100/(H14-G14)</f>
        <v>#REF!</v>
      </c>
      <c r="F17" s="8" t="s">
        <v>377</v>
      </c>
      <c r="H17" s="75"/>
    </row>
  </sheetData>
  <mergeCells count="8">
    <mergeCell ref="E4:F4"/>
    <mergeCell ref="C6:H6"/>
    <mergeCell ref="B1:H1"/>
    <mergeCell ref="C5:D5"/>
    <mergeCell ref="E5:F5"/>
    <mergeCell ref="C3:D3"/>
    <mergeCell ref="E3:F3"/>
    <mergeCell ref="C4:D4"/>
  </mergeCells>
  <pageMargins left="0.74791666666666667" right="0.74791666666666667" top="0.98402777777777783" bottom="0.98402777777777772" header="0.51180555555555562" footer="0.5"/>
  <pageSetup firstPageNumber="0" orientation="landscape" horizontalDpi="300" verticalDpi="300"/>
  <headerFooter alignWithMargins="0">
    <oddFooter>&amp;L&amp;"Tahoma,Regular"&amp;8 02ae-BM/PM/HDCV/FSOFT v2/0&amp;C&amp;"tahoma,Regular"&amp;8 Internal use&amp;R&amp;"Tahoma,Regular"&amp;8 &amp;P/&amp;N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2"/>
  <sheetViews>
    <sheetView zoomScale="85" zoomScaleNormal="85" workbookViewId="0">
      <pane ySplit="8" topLeftCell="A9" activePane="bottomLeft" state="frozen"/>
      <selection pane="bottomLeft" activeCell="A10" sqref="A10"/>
    </sheetView>
  </sheetViews>
  <sheetFormatPr defaultColWidth="9" defaultRowHeight="12.75"/>
  <cols>
    <col min="1" max="1" width="16.625" style="8" customWidth="1"/>
    <col min="2" max="2" width="31.875" style="8" customWidth="1"/>
    <col min="3" max="3" width="48.75" style="8" customWidth="1"/>
    <col min="4" max="4" width="38.25" style="8" customWidth="1"/>
    <col min="5" max="5" width="42.625" style="8" customWidth="1"/>
    <col min="6" max="6" width="30.875" style="8" customWidth="1"/>
    <col min="7" max="7" width="10.75" style="8" customWidth="1"/>
    <col min="8" max="8" width="16.25" style="8" customWidth="1"/>
    <col min="9" max="9" width="17.625" style="8" customWidth="1"/>
    <col min="10" max="10" width="27.25" style="57" customWidth="1"/>
    <col min="11" max="11" width="9" style="8" hidden="1" customWidth="1"/>
    <col min="12" max="12" width="28.375" style="8" customWidth="1"/>
    <col min="13" max="14" width="9" style="8" customWidth="1"/>
    <col min="15" max="16384" width="9" style="8"/>
  </cols>
  <sheetData>
    <row r="1" spans="1:11" s="63" customFormat="1" ht="13.15" customHeight="1" thickBot="1">
      <c r="A1" s="58"/>
      <c r="B1" s="59"/>
      <c r="C1" s="59"/>
      <c r="D1" s="59"/>
      <c r="E1" s="59"/>
      <c r="F1" s="59"/>
      <c r="G1" s="60"/>
      <c r="H1" s="61"/>
      <c r="I1" s="38"/>
      <c r="J1" s="62"/>
    </row>
    <row r="2" spans="1:11" s="63" customFormat="1" ht="15" customHeight="1">
      <c r="A2" s="64" t="s">
        <v>0</v>
      </c>
      <c r="B2" s="162" t="s">
        <v>379</v>
      </c>
      <c r="C2" s="139"/>
      <c r="D2" s="139"/>
      <c r="E2" s="139"/>
      <c r="F2" s="139"/>
      <c r="G2" s="140"/>
      <c r="H2" s="38"/>
      <c r="I2" s="38"/>
      <c r="J2" s="62"/>
      <c r="K2" s="63" t="s">
        <v>2</v>
      </c>
    </row>
    <row r="3" spans="1:11" s="63" customFormat="1" ht="25.5" customHeight="1">
      <c r="A3" s="65" t="s">
        <v>3</v>
      </c>
      <c r="B3" s="162" t="s">
        <v>380</v>
      </c>
      <c r="C3" s="139"/>
      <c r="D3" s="139"/>
      <c r="E3" s="139"/>
      <c r="F3" s="139"/>
      <c r="G3" s="140"/>
      <c r="H3" s="38"/>
      <c r="I3" s="38"/>
      <c r="J3" s="62"/>
      <c r="K3" s="63" t="s">
        <v>5</v>
      </c>
    </row>
    <row r="4" spans="1:11" s="63" customFormat="1" ht="18" customHeight="1">
      <c r="A4" s="64" t="s">
        <v>6</v>
      </c>
      <c r="B4" s="163" t="s">
        <v>7</v>
      </c>
      <c r="C4" s="143"/>
      <c r="D4" s="143"/>
      <c r="E4" s="143"/>
      <c r="F4" s="143"/>
      <c r="G4" s="144"/>
      <c r="H4" s="38"/>
      <c r="I4" s="38"/>
      <c r="J4" s="62"/>
      <c r="K4" s="63" t="s">
        <v>8</v>
      </c>
    </row>
    <row r="5" spans="1:11" s="63" customFormat="1" ht="19.5" customHeight="1">
      <c r="A5" s="67" t="s">
        <v>2</v>
      </c>
      <c r="B5" s="68" t="s">
        <v>5</v>
      </c>
      <c r="C5" s="68" t="s">
        <v>9</v>
      </c>
      <c r="D5" s="69" t="s">
        <v>10</v>
      </c>
      <c r="E5" s="141" t="s">
        <v>11</v>
      </c>
      <c r="F5" s="139"/>
      <c r="G5" s="140"/>
      <c r="H5" s="70"/>
      <c r="I5" s="70"/>
      <c r="J5" s="71"/>
      <c r="K5" s="63" t="s">
        <v>10</v>
      </c>
    </row>
    <row r="6" spans="1:11" s="63" customFormat="1" ht="15" customHeight="1" thickBot="1">
      <c r="A6" s="91">
        <f>COUNTIF(G10:G1001,"Pass")</f>
        <v>5</v>
      </c>
      <c r="B6" s="73">
        <f>COUNTIF(G10:G1001,"Fail")</f>
        <v>0</v>
      </c>
      <c r="C6" s="73">
        <f>E6-D6-B6-A6</f>
        <v>0</v>
      </c>
      <c r="D6" s="74">
        <f>COUNTIF(G$10:G$1001,"N/A")</f>
        <v>6</v>
      </c>
      <c r="E6" s="145">
        <f>COUNTA(A10:A1001)</f>
        <v>11</v>
      </c>
      <c r="F6" s="146"/>
      <c r="G6" s="147"/>
      <c r="H6" s="70"/>
      <c r="I6" s="70"/>
      <c r="J6" s="71"/>
    </row>
    <row r="7" spans="1:11" s="63" customFormat="1" ht="15" customHeight="1">
      <c r="D7" s="75"/>
      <c r="E7" s="75"/>
      <c r="F7" s="75"/>
      <c r="G7" s="75"/>
      <c r="H7" s="75"/>
      <c r="I7" s="75"/>
      <c r="J7" s="71"/>
    </row>
    <row r="8" spans="1:11" s="63" customFormat="1" ht="25.5" customHeight="1">
      <c r="A8" s="76" t="s">
        <v>12</v>
      </c>
      <c r="B8" s="76" t="s">
        <v>13</v>
      </c>
      <c r="C8" s="76" t="s">
        <v>14</v>
      </c>
      <c r="D8" s="76" t="s">
        <v>15</v>
      </c>
      <c r="E8" s="77" t="s">
        <v>16</v>
      </c>
      <c r="F8" s="77" t="s">
        <v>17</v>
      </c>
      <c r="G8" s="77" t="s">
        <v>18</v>
      </c>
      <c r="H8" s="77" t="s">
        <v>19</v>
      </c>
      <c r="I8" s="76" t="s">
        <v>20</v>
      </c>
      <c r="J8" s="78" t="s">
        <v>21</v>
      </c>
    </row>
    <row r="9" spans="1:11" s="63" customFormat="1" ht="15.4" customHeight="1">
      <c r="A9" s="79"/>
      <c r="B9" s="79" t="s">
        <v>379</v>
      </c>
      <c r="C9" s="80"/>
      <c r="D9" s="80"/>
      <c r="E9" s="80"/>
      <c r="F9" s="80"/>
      <c r="G9" s="80"/>
      <c r="H9" s="80"/>
      <c r="I9" s="81"/>
      <c r="J9" s="82"/>
    </row>
    <row r="10" spans="1:11" s="88" customFormat="1" ht="145.15" customHeight="1">
      <c r="A10" s="122" t="s">
        <v>381</v>
      </c>
      <c r="B10" s="83" t="s">
        <v>382</v>
      </c>
      <c r="C10" s="83" t="s">
        <v>383</v>
      </c>
      <c r="D10" s="83" t="s">
        <v>384</v>
      </c>
      <c r="E10" s="83" t="s">
        <v>385</v>
      </c>
      <c r="F10" s="85"/>
      <c r="G10" s="83" t="s">
        <v>2</v>
      </c>
      <c r="H10" s="121">
        <v>45954</v>
      </c>
      <c r="I10" s="92"/>
      <c r="J10" s="87" t="e">
        <v>#VALUE!</v>
      </c>
    </row>
    <row r="11" spans="1:11" ht="113.65" customHeight="1">
      <c r="A11" s="83" t="s">
        <v>386</v>
      </c>
      <c r="B11" s="83" t="s">
        <v>387</v>
      </c>
      <c r="C11" s="83" t="s">
        <v>388</v>
      </c>
      <c r="D11" s="83" t="s">
        <v>389</v>
      </c>
      <c r="E11" s="83" t="s">
        <v>390</v>
      </c>
      <c r="F11" s="123" t="s">
        <v>391</v>
      </c>
      <c r="G11" s="83" t="s">
        <v>2</v>
      </c>
      <c r="H11" s="121">
        <v>45954</v>
      </c>
      <c r="I11" s="92"/>
      <c r="J11" s="87" t="e">
        <v>#VALUE!</v>
      </c>
    </row>
    <row r="12" spans="1:11" ht="92.25" customHeight="1">
      <c r="A12" s="83" t="s">
        <v>392</v>
      </c>
      <c r="B12" s="83" t="s">
        <v>393</v>
      </c>
      <c r="C12" s="83" t="s">
        <v>394</v>
      </c>
      <c r="D12" s="83" t="s">
        <v>389</v>
      </c>
      <c r="E12" s="83" t="s">
        <v>390</v>
      </c>
      <c r="F12" s="123" t="s">
        <v>391</v>
      </c>
      <c r="G12" s="83" t="s">
        <v>2</v>
      </c>
      <c r="H12" s="121">
        <v>45954</v>
      </c>
      <c r="I12" s="92"/>
      <c r="J12" s="87" t="e">
        <v>#VALUE!</v>
      </c>
    </row>
    <row r="13" spans="1:11" ht="89.25" customHeight="1">
      <c r="A13" s="122" t="s">
        <v>395</v>
      </c>
      <c r="B13" s="122" t="s">
        <v>396</v>
      </c>
      <c r="C13" s="122" t="s">
        <v>397</v>
      </c>
      <c r="D13" s="122" t="s">
        <v>389</v>
      </c>
      <c r="E13" s="122"/>
      <c r="F13" s="125"/>
      <c r="G13" s="122" t="s">
        <v>10</v>
      </c>
      <c r="H13" s="121"/>
      <c r="I13" s="92"/>
      <c r="J13" s="87"/>
    </row>
    <row r="14" spans="1:11" ht="93.75" customHeight="1">
      <c r="A14" s="83" t="s">
        <v>398</v>
      </c>
      <c r="B14" s="83" t="s">
        <v>399</v>
      </c>
      <c r="C14" s="83" t="s">
        <v>400</v>
      </c>
      <c r="D14" s="89" t="s">
        <v>401</v>
      </c>
      <c r="E14" s="83" t="s">
        <v>402</v>
      </c>
      <c r="F14" s="126" t="s">
        <v>403</v>
      </c>
      <c r="G14" s="83" t="s">
        <v>2</v>
      </c>
      <c r="H14" s="121">
        <v>45954</v>
      </c>
      <c r="I14" s="92"/>
      <c r="J14" s="87" t="e">
        <v>#VALUE!</v>
      </c>
    </row>
    <row r="15" spans="1:11" ht="93.75" customHeight="1">
      <c r="A15" s="83" t="s">
        <v>404</v>
      </c>
      <c r="B15" s="83" t="s">
        <v>405</v>
      </c>
      <c r="C15" s="83" t="s">
        <v>406</v>
      </c>
      <c r="D15" s="89" t="s">
        <v>401</v>
      </c>
      <c r="E15" s="83" t="s">
        <v>407</v>
      </c>
      <c r="F15" s="123" t="s">
        <v>391</v>
      </c>
      <c r="G15" s="83" t="s">
        <v>2</v>
      </c>
      <c r="H15" s="121">
        <v>45954</v>
      </c>
      <c r="I15" s="92"/>
      <c r="J15" s="87" t="e">
        <v>#VALUE!</v>
      </c>
    </row>
    <row r="16" spans="1:11" s="63" customFormat="1" ht="15.75" customHeight="1">
      <c r="A16" s="79"/>
      <c r="B16" s="79" t="s">
        <v>408</v>
      </c>
      <c r="C16" s="80"/>
      <c r="D16" s="80"/>
      <c r="E16" s="80"/>
      <c r="F16" s="80"/>
      <c r="G16" s="80"/>
      <c r="H16" s="80"/>
      <c r="I16" s="81"/>
      <c r="J16" s="82"/>
    </row>
    <row r="17" spans="1:10" ht="25.5" customHeight="1">
      <c r="A17" s="83" t="s">
        <v>409</v>
      </c>
      <c r="B17" s="83" t="s">
        <v>366</v>
      </c>
      <c r="C17" s="83"/>
      <c r="D17" s="83"/>
      <c r="E17" s="83"/>
      <c r="F17" s="83"/>
      <c r="G17" s="83" t="s">
        <v>10</v>
      </c>
      <c r="H17" s="83"/>
      <c r="I17" s="92"/>
      <c r="J17" s="87"/>
    </row>
    <row r="18" spans="1:10" ht="25.5" customHeight="1">
      <c r="A18" s="83" t="s">
        <v>410</v>
      </c>
      <c r="B18" s="83" t="s">
        <v>367</v>
      </c>
      <c r="C18" s="83"/>
      <c r="D18" s="83"/>
      <c r="E18" s="83"/>
      <c r="F18" s="83"/>
      <c r="G18" s="83" t="s">
        <v>10</v>
      </c>
      <c r="H18" s="90"/>
      <c r="I18" s="90"/>
    </row>
    <row r="19" spans="1:10" s="63" customFormat="1" ht="15.75" customHeight="1">
      <c r="A19" s="79"/>
      <c r="B19" s="124" t="s">
        <v>411</v>
      </c>
      <c r="C19" s="80"/>
      <c r="D19" s="80"/>
      <c r="E19" s="80"/>
      <c r="F19" s="80"/>
      <c r="G19" s="80"/>
      <c r="H19" s="80"/>
      <c r="I19" s="81"/>
      <c r="J19" s="82"/>
    </row>
    <row r="20" spans="1:10">
      <c r="A20" s="83" t="s">
        <v>412</v>
      </c>
      <c r="B20" s="83" t="s">
        <v>366</v>
      </c>
      <c r="C20" s="83"/>
      <c r="D20" s="83"/>
      <c r="E20" s="83"/>
      <c r="F20" s="83"/>
      <c r="G20" s="83" t="s">
        <v>10</v>
      </c>
      <c r="H20" s="83"/>
      <c r="I20" s="92"/>
      <c r="J20" s="87"/>
    </row>
    <row r="21" spans="1:10">
      <c r="A21" s="83" t="s">
        <v>413</v>
      </c>
      <c r="B21" s="83" t="s">
        <v>367</v>
      </c>
      <c r="C21" s="83"/>
      <c r="D21" s="83"/>
      <c r="E21" s="83"/>
      <c r="F21" s="83"/>
      <c r="G21" s="83" t="s">
        <v>10</v>
      </c>
      <c r="H21" s="90"/>
      <c r="I21" s="90"/>
    </row>
    <row r="22" spans="1:10">
      <c r="A22" s="83" t="s">
        <v>414</v>
      </c>
      <c r="B22" s="83" t="s">
        <v>367</v>
      </c>
      <c r="C22" s="83"/>
      <c r="D22" s="83"/>
      <c r="E22" s="83"/>
      <c r="F22" s="83"/>
      <c r="G22" s="83" t="s">
        <v>10</v>
      </c>
      <c r="H22" s="90"/>
      <c r="I22" s="90"/>
    </row>
  </sheetData>
  <autoFilter ref="A8:I18" xr:uid="{00000000-0009-0000-0000-000004000000}"/>
  <mergeCells count="5">
    <mergeCell ref="B3:G3"/>
    <mergeCell ref="B2:G2"/>
    <mergeCell ref="E5:G5"/>
    <mergeCell ref="B4:G4"/>
    <mergeCell ref="E6:G6"/>
  </mergeCells>
  <dataValidations count="2">
    <dataValidation type="list" allowBlank="1" showErrorMessage="1" sqref="G1:G3 G7:G9 G23:G147" xr:uid="{00000000-0002-0000-0400-000000000000}">
      <formula1>$K$2:$K$6</formula1>
      <formula2>0</formula2>
    </dataValidation>
    <dataValidation type="list" allowBlank="1" showErrorMessage="1" sqref="G10:G22" xr:uid="{00000000-0002-0000-0400-000001000000}">
      <formula1>$K$2:$K$5</formula1>
    </dataValidation>
  </dataValidations>
  <pageMargins left="0.74791666666666667" right="0.25" top="1" bottom="0.98402777777777772" header="0.5" footer="0.5"/>
  <pageSetup paperSize="9" firstPageNumber="0" orientation="landscape" horizontalDpi="300" verticalDpi="300"/>
  <headerFooter alignWithMargins="0">
    <oddHeader>&amp;LFacilitate_Test Case\Company&amp;Rv1.0</oddHeader>
    <oddFooter>&amp;L&amp;"Tahoma,Regular"&amp;8 02ae-BM/PM/HDCV/FSOFT v2/0&amp;C&amp;"Tahoma,Regular"&amp;10 Internal use&amp;R&amp;"tahoma,Regular"&amp;8 &amp;P/&amp;N</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8"/>
  <sheetViews>
    <sheetView tabSelected="1" topLeftCell="A68" zoomScale="85" zoomScaleNormal="85" workbookViewId="0">
      <selection activeCell="D74" sqref="D74"/>
    </sheetView>
  </sheetViews>
  <sheetFormatPr defaultRowHeight="13.5"/>
  <cols>
    <col min="2" max="2" width="46" bestFit="1" customWidth="1"/>
    <col min="3" max="3" width="34.375" bestFit="1" customWidth="1"/>
    <col min="4" max="4" width="39.875" bestFit="1" customWidth="1"/>
    <col min="5" max="5" width="32.25" customWidth="1"/>
    <col min="6" max="6" width="25.375" customWidth="1"/>
    <col min="9" max="9" width="29.75" customWidth="1"/>
  </cols>
  <sheetData>
    <row r="1" spans="1:11" ht="13.15" customHeight="1">
      <c r="A1" s="58"/>
      <c r="B1" s="59"/>
      <c r="C1" s="59"/>
      <c r="D1" s="59"/>
      <c r="E1" s="59"/>
      <c r="F1" s="59"/>
      <c r="G1" s="60"/>
      <c r="H1" s="61"/>
      <c r="I1" s="38"/>
      <c r="J1" s="62"/>
    </row>
    <row r="2" spans="1:11" ht="15" customHeight="1">
      <c r="A2" s="127" t="s">
        <v>0</v>
      </c>
      <c r="B2" s="138" t="s">
        <v>1</v>
      </c>
      <c r="C2" s="139"/>
      <c r="D2" s="139"/>
      <c r="E2" s="139"/>
      <c r="F2" s="139"/>
      <c r="G2" s="140"/>
      <c r="H2" s="38"/>
      <c r="I2" s="38"/>
      <c r="J2" s="62"/>
      <c r="K2" s="63" t="s">
        <v>2</v>
      </c>
    </row>
    <row r="3" spans="1:11" ht="25.5" customHeight="1">
      <c r="A3" s="128" t="s">
        <v>3</v>
      </c>
      <c r="B3" s="138" t="s">
        <v>4</v>
      </c>
      <c r="C3" s="139"/>
      <c r="D3" s="139"/>
      <c r="E3" s="139"/>
      <c r="F3" s="139"/>
      <c r="G3" s="140"/>
      <c r="H3" s="38"/>
      <c r="I3" s="38"/>
      <c r="J3" s="62"/>
      <c r="K3" s="63" t="s">
        <v>5</v>
      </c>
    </row>
    <row r="4" spans="1:11" ht="18" customHeight="1">
      <c r="A4" s="127" t="s">
        <v>6</v>
      </c>
      <c r="B4" s="142" t="s">
        <v>7</v>
      </c>
      <c r="C4" s="143"/>
      <c r="D4" s="143"/>
      <c r="E4" s="143"/>
      <c r="F4" s="143"/>
      <c r="G4" s="144"/>
      <c r="H4" s="38"/>
      <c r="I4" s="38"/>
      <c r="J4" s="62"/>
      <c r="K4" s="63" t="s">
        <v>8</v>
      </c>
    </row>
    <row r="5" spans="1:11" ht="19.5" customHeight="1">
      <c r="A5" s="67" t="s">
        <v>2</v>
      </c>
      <c r="B5" s="68" t="s">
        <v>5</v>
      </c>
      <c r="C5" s="68" t="s">
        <v>9</v>
      </c>
      <c r="D5" s="69" t="s">
        <v>10</v>
      </c>
      <c r="E5" s="141" t="s">
        <v>11</v>
      </c>
      <c r="F5" s="139"/>
      <c r="G5" s="140"/>
      <c r="H5" s="70"/>
      <c r="I5" s="70"/>
      <c r="J5" s="71"/>
      <c r="K5" s="63" t="s">
        <v>10</v>
      </c>
    </row>
    <row r="6" spans="1:11" ht="15" customHeight="1">
      <c r="A6" s="91">
        <v>13</v>
      </c>
      <c r="B6" s="73">
        <v>3</v>
      </c>
      <c r="C6" s="73">
        <v>44</v>
      </c>
      <c r="D6" s="74">
        <v>0</v>
      </c>
      <c r="E6" s="145">
        <v>60</v>
      </c>
      <c r="F6" s="146"/>
      <c r="G6" s="147"/>
      <c r="H6" s="70"/>
      <c r="I6" s="70"/>
      <c r="J6" s="71"/>
    </row>
    <row r="7" spans="1:11" ht="15" customHeight="1">
      <c r="D7" s="75"/>
      <c r="E7" s="75"/>
      <c r="F7" s="75"/>
      <c r="G7" s="75"/>
      <c r="H7" s="75"/>
      <c r="I7" s="75"/>
      <c r="J7" s="71"/>
    </row>
    <row r="8" spans="1:11" ht="25.5" customHeight="1">
      <c r="A8" s="129" t="s">
        <v>12</v>
      </c>
      <c r="B8" s="129" t="s">
        <v>13</v>
      </c>
      <c r="C8" s="129" t="s">
        <v>14</v>
      </c>
      <c r="D8" s="129" t="s">
        <v>15</v>
      </c>
      <c r="E8" s="130" t="s">
        <v>16</v>
      </c>
      <c r="F8" s="130" t="s">
        <v>17</v>
      </c>
      <c r="G8" s="130" t="s">
        <v>18</v>
      </c>
      <c r="H8" s="130" t="s">
        <v>19</v>
      </c>
      <c r="I8" s="129" t="s">
        <v>20</v>
      </c>
      <c r="J8" s="131" t="s">
        <v>21</v>
      </c>
    </row>
    <row r="9" spans="1:11" ht="15.4" customHeight="1">
      <c r="A9" s="132"/>
      <c r="B9" s="132" t="s">
        <v>22</v>
      </c>
      <c r="C9" s="133"/>
      <c r="D9" s="133"/>
      <c r="E9" s="133"/>
      <c r="F9" s="133"/>
      <c r="G9" s="133"/>
      <c r="H9" s="133"/>
      <c r="I9" s="134"/>
      <c r="J9" s="135"/>
    </row>
    <row r="10" spans="1:11" ht="80.099999999999994" customHeight="1">
      <c r="A10" s="136" t="s">
        <v>23</v>
      </c>
      <c r="B10" s="86" t="s">
        <v>24</v>
      </c>
      <c r="C10" s="86" t="s">
        <v>25</v>
      </c>
      <c r="D10" s="86" t="s">
        <v>26</v>
      </c>
      <c r="E10" s="86" t="s">
        <v>27</v>
      </c>
      <c r="F10" s="85"/>
      <c r="G10" s="86" t="s">
        <v>2</v>
      </c>
      <c r="H10" s="137" t="s">
        <v>28</v>
      </c>
      <c r="I10" s="92" t="s">
        <v>29</v>
      </c>
      <c r="J10" s="87"/>
    </row>
    <row r="11" spans="1:11" ht="80.099999999999994" customHeight="1">
      <c r="A11" s="136" t="s">
        <v>30</v>
      </c>
      <c r="B11" s="86" t="s">
        <v>31</v>
      </c>
      <c r="C11" s="86" t="s">
        <v>32</v>
      </c>
      <c r="D11" s="86" t="s">
        <v>33</v>
      </c>
      <c r="E11" s="86" t="s">
        <v>34</v>
      </c>
      <c r="F11" s="85" t="s">
        <v>35</v>
      </c>
      <c r="G11" s="86" t="s">
        <v>2</v>
      </c>
      <c r="H11" s="137" t="s">
        <v>28</v>
      </c>
      <c r="I11" s="92" t="s">
        <v>29</v>
      </c>
      <c r="J11" s="87"/>
    </row>
    <row r="12" spans="1:11" ht="80.099999999999994" customHeight="1">
      <c r="A12" s="136" t="s">
        <v>36</v>
      </c>
      <c r="B12" s="86" t="s">
        <v>37</v>
      </c>
      <c r="C12" s="86" t="s">
        <v>38</v>
      </c>
      <c r="D12" s="86" t="s">
        <v>39</v>
      </c>
      <c r="E12" s="86" t="s">
        <v>40</v>
      </c>
      <c r="F12" s="85"/>
      <c r="G12" s="86" t="s">
        <v>2</v>
      </c>
      <c r="H12" s="137" t="s">
        <v>28</v>
      </c>
      <c r="I12" s="92" t="s">
        <v>29</v>
      </c>
      <c r="J12" s="87"/>
    </row>
    <row r="13" spans="1:11" ht="80.099999999999994" customHeight="1">
      <c r="A13" s="136" t="s">
        <v>41</v>
      </c>
      <c r="B13" s="86" t="s">
        <v>42</v>
      </c>
      <c r="C13" s="86" t="s">
        <v>43</v>
      </c>
      <c r="D13" s="86" t="s">
        <v>44</v>
      </c>
      <c r="E13" s="86" t="s">
        <v>45</v>
      </c>
      <c r="F13" s="85"/>
      <c r="G13" s="86" t="s">
        <v>2</v>
      </c>
      <c r="H13" s="137" t="s">
        <v>28</v>
      </c>
      <c r="I13" s="92" t="s">
        <v>46</v>
      </c>
      <c r="J13" s="87"/>
    </row>
    <row r="14" spans="1:11" ht="80.099999999999994" customHeight="1">
      <c r="A14" s="136" t="s">
        <v>47</v>
      </c>
      <c r="B14" s="86" t="s">
        <v>48</v>
      </c>
      <c r="C14" s="86" t="s">
        <v>49</v>
      </c>
      <c r="D14" s="86" t="s">
        <v>50</v>
      </c>
      <c r="E14" s="86" t="s">
        <v>51</v>
      </c>
      <c r="F14" s="85"/>
      <c r="G14" s="86" t="s">
        <v>2</v>
      </c>
      <c r="H14" s="137" t="s">
        <v>28</v>
      </c>
      <c r="I14" s="92" t="s">
        <v>52</v>
      </c>
      <c r="J14" s="87"/>
    </row>
    <row r="15" spans="1:11" ht="80.099999999999994" customHeight="1">
      <c r="A15" s="136" t="s">
        <v>53</v>
      </c>
      <c r="B15" s="86" t="s">
        <v>54</v>
      </c>
      <c r="C15" s="86" t="s">
        <v>55</v>
      </c>
      <c r="D15" s="86" t="s">
        <v>56</v>
      </c>
      <c r="E15" s="86" t="s">
        <v>23</v>
      </c>
      <c r="F15" s="85"/>
      <c r="G15" s="86" t="s">
        <v>9</v>
      </c>
      <c r="H15" s="137"/>
      <c r="I15" s="92"/>
      <c r="J15" s="87"/>
    </row>
    <row r="16" spans="1:11" ht="80.099999999999994" customHeight="1">
      <c r="A16" s="136" t="s">
        <v>57</v>
      </c>
      <c r="B16" s="86" t="s">
        <v>58</v>
      </c>
      <c r="C16" s="86" t="s">
        <v>59</v>
      </c>
      <c r="D16" s="86" t="s">
        <v>60</v>
      </c>
      <c r="E16" s="86" t="s">
        <v>23</v>
      </c>
      <c r="F16" s="85"/>
      <c r="G16" s="86" t="s">
        <v>9</v>
      </c>
      <c r="H16" s="137"/>
      <c r="I16" s="92"/>
      <c r="J16" s="87"/>
    </row>
    <row r="17" spans="1:10" ht="80.099999999999994" customHeight="1">
      <c r="A17" s="136" t="s">
        <v>61</v>
      </c>
      <c r="B17" s="86" t="s">
        <v>62</v>
      </c>
      <c r="C17" s="86" t="s">
        <v>63</v>
      </c>
      <c r="D17" s="86" t="s">
        <v>64</v>
      </c>
      <c r="E17" s="86" t="s">
        <v>65</v>
      </c>
      <c r="F17" s="85"/>
      <c r="G17" s="86" t="s">
        <v>9</v>
      </c>
      <c r="H17" s="137"/>
      <c r="I17" s="92"/>
      <c r="J17" s="87"/>
    </row>
    <row r="18" spans="1:10" ht="80.099999999999994" customHeight="1">
      <c r="A18" s="136" t="s">
        <v>66</v>
      </c>
      <c r="B18" s="86" t="s">
        <v>67</v>
      </c>
      <c r="C18" s="86" t="s">
        <v>68</v>
      </c>
      <c r="D18" s="86" t="s">
        <v>69</v>
      </c>
      <c r="E18" s="86" t="s">
        <v>23</v>
      </c>
      <c r="F18" s="85"/>
      <c r="G18" s="86" t="s">
        <v>9</v>
      </c>
      <c r="H18" s="137"/>
      <c r="I18" s="92"/>
      <c r="J18" s="87"/>
    </row>
    <row r="19" spans="1:10" ht="80.099999999999994" customHeight="1">
      <c r="A19" s="136" t="s">
        <v>70</v>
      </c>
      <c r="B19" s="86" t="s">
        <v>71</v>
      </c>
      <c r="C19" s="86" t="s">
        <v>72</v>
      </c>
      <c r="D19" s="86" t="s">
        <v>73</v>
      </c>
      <c r="E19" s="86" t="s">
        <v>74</v>
      </c>
      <c r="F19" s="85"/>
      <c r="G19" s="86" t="s">
        <v>9</v>
      </c>
      <c r="H19" s="137"/>
      <c r="I19" s="92"/>
      <c r="J19" s="87"/>
    </row>
    <row r="20" spans="1:10" ht="93" customHeight="1">
      <c r="A20" s="136" t="s">
        <v>75</v>
      </c>
      <c r="B20" s="86" t="s">
        <v>76</v>
      </c>
      <c r="C20" s="86" t="s">
        <v>77</v>
      </c>
      <c r="D20" s="86" t="s">
        <v>78</v>
      </c>
      <c r="E20" s="86" t="s">
        <v>23</v>
      </c>
      <c r="F20" s="85"/>
      <c r="G20" s="86" t="s">
        <v>5</v>
      </c>
      <c r="H20" s="137" t="s">
        <v>28</v>
      </c>
      <c r="I20" s="92" t="s">
        <v>79</v>
      </c>
      <c r="J20" s="87"/>
    </row>
    <row r="21" spans="1:10" ht="15.4" customHeight="1">
      <c r="A21" s="132"/>
      <c r="B21" s="132" t="s">
        <v>80</v>
      </c>
      <c r="C21" s="133"/>
      <c r="D21" s="133"/>
      <c r="E21" s="133"/>
      <c r="F21" s="133"/>
      <c r="G21" s="133"/>
      <c r="H21" s="133"/>
      <c r="I21" s="134"/>
      <c r="J21" s="135"/>
    </row>
    <row r="22" spans="1:10" ht="80.099999999999994" customHeight="1">
      <c r="A22" s="136" t="s">
        <v>81</v>
      </c>
      <c r="B22" s="86" t="s">
        <v>82</v>
      </c>
      <c r="C22" s="86" t="s">
        <v>83</v>
      </c>
      <c r="D22" s="86" t="s">
        <v>84</v>
      </c>
      <c r="E22" s="86" t="s">
        <v>75</v>
      </c>
      <c r="F22" s="85"/>
      <c r="G22" s="86" t="s">
        <v>5</v>
      </c>
      <c r="H22" s="137" t="s">
        <v>28</v>
      </c>
      <c r="I22" s="92" t="s">
        <v>85</v>
      </c>
      <c r="J22" s="87"/>
    </row>
    <row r="23" spans="1:10" ht="80.099999999999994" customHeight="1">
      <c r="A23" s="136" t="s">
        <v>86</v>
      </c>
      <c r="B23" s="86" t="s">
        <v>87</v>
      </c>
      <c r="C23" s="86" t="s">
        <v>88</v>
      </c>
      <c r="D23" s="86" t="s">
        <v>89</v>
      </c>
      <c r="E23" s="86" t="s">
        <v>90</v>
      </c>
      <c r="F23" s="85"/>
      <c r="G23" s="86" t="s">
        <v>2</v>
      </c>
      <c r="H23" s="137" t="s">
        <v>28</v>
      </c>
      <c r="I23" s="92" t="s">
        <v>91</v>
      </c>
      <c r="J23" s="87"/>
    </row>
    <row r="24" spans="1:10" ht="80.099999999999994" customHeight="1">
      <c r="A24" s="136" t="s">
        <v>92</v>
      </c>
      <c r="B24" s="86" t="s">
        <v>93</v>
      </c>
      <c r="C24" s="86" t="s">
        <v>94</v>
      </c>
      <c r="D24" s="86" t="s">
        <v>95</v>
      </c>
      <c r="E24" s="86" t="s">
        <v>81</v>
      </c>
      <c r="F24" s="85"/>
      <c r="G24" s="86" t="s">
        <v>2</v>
      </c>
      <c r="H24" s="137" t="s">
        <v>28</v>
      </c>
      <c r="I24" s="92" t="s">
        <v>96</v>
      </c>
      <c r="J24" s="87"/>
    </row>
    <row r="25" spans="1:10" ht="80.099999999999994" customHeight="1">
      <c r="A25" s="136" t="s">
        <v>97</v>
      </c>
      <c r="B25" s="86" t="s">
        <v>98</v>
      </c>
      <c r="C25" s="86" t="s">
        <v>99</v>
      </c>
      <c r="D25" s="86" t="s">
        <v>100</v>
      </c>
      <c r="E25" s="86" t="s">
        <v>81</v>
      </c>
      <c r="F25" s="85"/>
      <c r="G25" s="86" t="s">
        <v>2</v>
      </c>
      <c r="H25" s="137" t="s">
        <v>28</v>
      </c>
      <c r="I25" s="92" t="s">
        <v>101</v>
      </c>
      <c r="J25" s="87"/>
    </row>
    <row r="26" spans="1:10" ht="80.099999999999994" customHeight="1">
      <c r="A26" s="136" t="s">
        <v>102</v>
      </c>
      <c r="B26" s="86" t="s">
        <v>103</v>
      </c>
      <c r="C26" s="86" t="s">
        <v>104</v>
      </c>
      <c r="D26" s="86" t="s">
        <v>105</v>
      </c>
      <c r="E26" s="86" t="s">
        <v>106</v>
      </c>
      <c r="F26" s="85"/>
      <c r="G26" s="86" t="s">
        <v>2</v>
      </c>
      <c r="H26" s="137" t="s">
        <v>28</v>
      </c>
      <c r="I26" s="92" t="s">
        <v>107</v>
      </c>
      <c r="J26" s="87"/>
    </row>
    <row r="27" spans="1:10" ht="80.099999999999994" customHeight="1">
      <c r="A27" s="136" t="s">
        <v>108</v>
      </c>
      <c r="B27" s="86" t="s">
        <v>109</v>
      </c>
      <c r="C27" s="86" t="s">
        <v>110</v>
      </c>
      <c r="D27" s="86" t="s">
        <v>111</v>
      </c>
      <c r="E27" s="86" t="s">
        <v>81</v>
      </c>
      <c r="F27" s="85"/>
      <c r="G27" s="86" t="s">
        <v>9</v>
      </c>
      <c r="H27" s="137"/>
      <c r="I27" s="92"/>
      <c r="J27" s="87"/>
    </row>
    <row r="28" spans="1:10" ht="80.099999999999994" customHeight="1">
      <c r="A28" s="136" t="s">
        <v>112</v>
      </c>
      <c r="B28" s="86" t="s">
        <v>113</v>
      </c>
      <c r="C28" s="86" t="s">
        <v>114</v>
      </c>
      <c r="D28" s="86" t="s">
        <v>115</v>
      </c>
      <c r="E28" s="86" t="s">
        <v>116</v>
      </c>
      <c r="F28" s="85"/>
      <c r="G28" s="86" t="s">
        <v>2</v>
      </c>
      <c r="H28" s="137" t="s">
        <v>28</v>
      </c>
      <c r="I28" s="92" t="s">
        <v>117</v>
      </c>
      <c r="J28" s="87"/>
    </row>
    <row r="29" spans="1:10" ht="80.099999999999994" customHeight="1">
      <c r="A29" s="136" t="s">
        <v>118</v>
      </c>
      <c r="B29" s="86" t="s">
        <v>119</v>
      </c>
      <c r="C29" s="86" t="s">
        <v>120</v>
      </c>
      <c r="D29" s="86" t="s">
        <v>121</v>
      </c>
      <c r="E29" s="86" t="s">
        <v>122</v>
      </c>
      <c r="F29" s="85"/>
      <c r="G29" s="86" t="s">
        <v>9</v>
      </c>
      <c r="H29" s="137"/>
      <c r="I29" s="92"/>
      <c r="J29" s="87"/>
    </row>
    <row r="30" spans="1:10" ht="15.4" customHeight="1">
      <c r="A30" s="132"/>
      <c r="B30" s="132" t="s">
        <v>123</v>
      </c>
      <c r="C30" s="133"/>
      <c r="D30" s="133"/>
      <c r="E30" s="133"/>
      <c r="F30" s="133"/>
      <c r="G30" s="133"/>
      <c r="H30" s="133"/>
      <c r="I30" s="134"/>
      <c r="J30" s="135"/>
    </row>
    <row r="31" spans="1:10" ht="80.099999999999994" customHeight="1">
      <c r="A31" s="136" t="s">
        <v>124</v>
      </c>
      <c r="B31" s="86" t="s">
        <v>125</v>
      </c>
      <c r="C31" s="86" t="s">
        <v>126</v>
      </c>
      <c r="D31" s="86" t="s">
        <v>127</v>
      </c>
      <c r="E31" s="86" t="s">
        <v>128</v>
      </c>
      <c r="F31" s="85"/>
      <c r="G31" s="86" t="s">
        <v>2</v>
      </c>
      <c r="H31" s="137" t="s">
        <v>28</v>
      </c>
      <c r="I31" s="92" t="s">
        <v>129</v>
      </c>
      <c r="J31" s="87"/>
    </row>
    <row r="32" spans="1:10" ht="80.099999999999994" customHeight="1">
      <c r="A32" s="136" t="s">
        <v>130</v>
      </c>
      <c r="B32" s="86" t="s">
        <v>131</v>
      </c>
      <c r="C32" s="86" t="s">
        <v>132</v>
      </c>
      <c r="D32" s="86" t="s">
        <v>133</v>
      </c>
      <c r="E32" s="86" t="s">
        <v>124</v>
      </c>
      <c r="F32" s="85"/>
      <c r="G32" s="86" t="s">
        <v>2</v>
      </c>
      <c r="H32" s="137" t="s">
        <v>28</v>
      </c>
      <c r="I32" s="92" t="s">
        <v>134</v>
      </c>
      <c r="J32" s="87"/>
    </row>
    <row r="33" spans="1:10" ht="80.099999999999994" customHeight="1">
      <c r="A33" s="136" t="s">
        <v>135</v>
      </c>
      <c r="B33" s="86" t="s">
        <v>136</v>
      </c>
      <c r="C33" s="86" t="s">
        <v>137</v>
      </c>
      <c r="D33" s="86" t="s">
        <v>138</v>
      </c>
      <c r="E33" s="86" t="s">
        <v>139</v>
      </c>
      <c r="F33" s="85"/>
      <c r="G33" s="86" t="s">
        <v>2</v>
      </c>
      <c r="H33" s="137" t="s">
        <v>28</v>
      </c>
      <c r="I33" s="92" t="s">
        <v>140</v>
      </c>
      <c r="J33" s="87"/>
    </row>
    <row r="34" spans="1:10" ht="80.099999999999994" customHeight="1">
      <c r="A34" s="136" t="s">
        <v>141</v>
      </c>
      <c r="B34" s="86" t="s">
        <v>142</v>
      </c>
      <c r="C34" s="86" t="s">
        <v>143</v>
      </c>
      <c r="D34" s="86" t="s">
        <v>144</v>
      </c>
      <c r="E34" s="86" t="s">
        <v>135</v>
      </c>
      <c r="F34" s="85"/>
      <c r="G34" s="86" t="s">
        <v>9</v>
      </c>
      <c r="H34" s="137"/>
      <c r="I34" s="92"/>
      <c r="J34" s="87"/>
    </row>
    <row r="35" spans="1:10" ht="80.099999999999994" customHeight="1">
      <c r="A35" s="136" t="s">
        <v>145</v>
      </c>
      <c r="B35" s="86" t="s">
        <v>146</v>
      </c>
      <c r="C35" s="86" t="s">
        <v>147</v>
      </c>
      <c r="D35" s="86" t="s">
        <v>148</v>
      </c>
      <c r="E35" s="86" t="s">
        <v>124</v>
      </c>
      <c r="F35" s="85"/>
      <c r="G35" s="86" t="s">
        <v>9</v>
      </c>
      <c r="H35" s="137"/>
      <c r="I35" s="92"/>
      <c r="J35" s="87"/>
    </row>
    <row r="36" spans="1:10" ht="80.099999999999994" customHeight="1">
      <c r="A36" s="136" t="s">
        <v>149</v>
      </c>
      <c r="B36" s="86" t="s">
        <v>150</v>
      </c>
      <c r="C36" s="86" t="s">
        <v>151</v>
      </c>
      <c r="D36" s="86" t="s">
        <v>152</v>
      </c>
      <c r="E36" s="86" t="s">
        <v>153</v>
      </c>
      <c r="F36" s="85"/>
      <c r="G36" s="86" t="s">
        <v>9</v>
      </c>
      <c r="H36" s="137"/>
      <c r="I36" s="92"/>
      <c r="J36" s="87"/>
    </row>
    <row r="37" spans="1:10" ht="80.099999999999994" customHeight="1">
      <c r="A37" s="136" t="s">
        <v>154</v>
      </c>
      <c r="B37" s="86" t="s">
        <v>155</v>
      </c>
      <c r="C37" s="86" t="s">
        <v>156</v>
      </c>
      <c r="D37" s="86" t="s">
        <v>157</v>
      </c>
      <c r="E37" s="86" t="s">
        <v>158</v>
      </c>
      <c r="F37" s="85"/>
      <c r="G37" s="86" t="s">
        <v>9</v>
      </c>
      <c r="H37" s="137"/>
      <c r="I37" s="92"/>
      <c r="J37" s="87"/>
    </row>
    <row r="38" spans="1:10" ht="80.099999999999994" customHeight="1">
      <c r="A38" s="136" t="s">
        <v>159</v>
      </c>
      <c r="B38" s="86" t="s">
        <v>160</v>
      </c>
      <c r="C38" s="86" t="s">
        <v>161</v>
      </c>
      <c r="D38" s="86" t="s">
        <v>162</v>
      </c>
      <c r="E38" s="86" t="s">
        <v>124</v>
      </c>
      <c r="F38" s="85"/>
      <c r="G38" s="86" t="s">
        <v>9</v>
      </c>
      <c r="H38" s="137"/>
      <c r="I38" s="92"/>
      <c r="J38" s="87"/>
    </row>
    <row r="39" spans="1:10" ht="15.4" customHeight="1">
      <c r="A39" s="132"/>
      <c r="B39" s="132" t="s">
        <v>163</v>
      </c>
      <c r="C39" s="133"/>
      <c r="D39" s="133"/>
      <c r="E39" s="133"/>
      <c r="F39" s="133"/>
      <c r="G39" s="133"/>
      <c r="H39" s="133"/>
      <c r="I39" s="134"/>
      <c r="J39" s="135"/>
    </row>
    <row r="40" spans="1:10" ht="80.099999999999994" customHeight="1">
      <c r="A40" s="136" t="s">
        <v>164</v>
      </c>
      <c r="B40" s="86" t="s">
        <v>165</v>
      </c>
      <c r="C40" s="86" t="s">
        <v>166</v>
      </c>
      <c r="D40" s="86" t="s">
        <v>167</v>
      </c>
      <c r="E40" s="86" t="s">
        <v>168</v>
      </c>
      <c r="F40" s="85" t="s">
        <v>169</v>
      </c>
      <c r="G40" s="86" t="s">
        <v>9</v>
      </c>
      <c r="H40" s="137"/>
      <c r="I40" s="92"/>
      <c r="J40" s="87"/>
    </row>
    <row r="41" spans="1:10" ht="80.099999999999994" customHeight="1">
      <c r="A41" s="136" t="s">
        <v>170</v>
      </c>
      <c r="B41" s="86" t="s">
        <v>171</v>
      </c>
      <c r="C41" s="86" t="s">
        <v>172</v>
      </c>
      <c r="D41" s="86" t="s">
        <v>173</v>
      </c>
      <c r="E41" s="86" t="s">
        <v>174</v>
      </c>
      <c r="F41" s="85"/>
      <c r="G41" s="86" t="s">
        <v>9</v>
      </c>
      <c r="H41" s="137"/>
      <c r="I41" s="92"/>
      <c r="J41" s="87"/>
    </row>
    <row r="42" spans="1:10" ht="80.099999999999994" customHeight="1">
      <c r="A42" s="136" t="s">
        <v>175</v>
      </c>
      <c r="B42" s="86" t="s">
        <v>176</v>
      </c>
      <c r="C42" s="86" t="s">
        <v>177</v>
      </c>
      <c r="D42" s="86" t="s">
        <v>178</v>
      </c>
      <c r="E42" s="86" t="s">
        <v>179</v>
      </c>
      <c r="F42" s="85"/>
      <c r="G42" s="86" t="s">
        <v>9</v>
      </c>
      <c r="H42" s="137"/>
      <c r="I42" s="92"/>
      <c r="J42" s="87"/>
    </row>
    <row r="43" spans="1:10" ht="80.099999999999994" customHeight="1">
      <c r="A43" s="136" t="s">
        <v>180</v>
      </c>
      <c r="B43" s="86" t="s">
        <v>181</v>
      </c>
      <c r="C43" s="86" t="s">
        <v>182</v>
      </c>
      <c r="D43" s="86" t="s">
        <v>183</v>
      </c>
      <c r="E43" s="86" t="s">
        <v>184</v>
      </c>
      <c r="F43" s="85"/>
      <c r="G43" s="86" t="s">
        <v>9</v>
      </c>
      <c r="H43" s="137"/>
      <c r="I43" s="92"/>
      <c r="J43" s="87"/>
    </row>
    <row r="44" spans="1:10" ht="80.099999999999994" customHeight="1">
      <c r="A44" s="136" t="s">
        <v>185</v>
      </c>
      <c r="B44" s="86" t="s">
        <v>186</v>
      </c>
      <c r="C44" s="86" t="s">
        <v>187</v>
      </c>
      <c r="D44" s="86" t="s">
        <v>188</v>
      </c>
      <c r="E44" s="86" t="s">
        <v>135</v>
      </c>
      <c r="F44" s="85"/>
      <c r="G44" s="86" t="s">
        <v>9</v>
      </c>
      <c r="H44" s="137"/>
      <c r="I44" s="92"/>
      <c r="J44" s="87"/>
    </row>
    <row r="45" spans="1:10" ht="80.099999999999994" customHeight="1">
      <c r="A45" s="136" t="s">
        <v>189</v>
      </c>
      <c r="B45" s="86" t="s">
        <v>190</v>
      </c>
      <c r="C45" s="86" t="s">
        <v>191</v>
      </c>
      <c r="D45" s="86" t="s">
        <v>192</v>
      </c>
      <c r="E45" s="86" t="s">
        <v>193</v>
      </c>
      <c r="F45" s="85"/>
      <c r="G45" s="86" t="s">
        <v>9</v>
      </c>
      <c r="H45" s="137"/>
      <c r="I45" s="92"/>
      <c r="J45" s="87"/>
    </row>
    <row r="46" spans="1:10" ht="80.099999999999994" customHeight="1">
      <c r="A46" s="136" t="s">
        <v>194</v>
      </c>
      <c r="B46" s="86" t="s">
        <v>195</v>
      </c>
      <c r="C46" s="86" t="s">
        <v>196</v>
      </c>
      <c r="D46" s="86" t="s">
        <v>197</v>
      </c>
      <c r="E46" s="86" t="s">
        <v>198</v>
      </c>
      <c r="F46" s="85"/>
      <c r="G46" s="86" t="s">
        <v>9</v>
      </c>
      <c r="H46" s="137"/>
      <c r="I46" s="92"/>
      <c r="J46" s="87"/>
    </row>
    <row r="47" spans="1:10" ht="15.4" customHeight="1">
      <c r="A47" s="132"/>
      <c r="B47" s="132" t="s">
        <v>199</v>
      </c>
      <c r="C47" s="133"/>
      <c r="D47" s="133"/>
      <c r="E47" s="133"/>
      <c r="F47" s="133"/>
      <c r="G47" s="133"/>
      <c r="H47" s="133"/>
      <c r="I47" s="134"/>
      <c r="J47" s="135"/>
    </row>
    <row r="48" spans="1:10" ht="80.099999999999994" customHeight="1">
      <c r="A48" s="136" t="s">
        <v>200</v>
      </c>
      <c r="B48" s="86" t="s">
        <v>201</v>
      </c>
      <c r="C48" s="86" t="s">
        <v>202</v>
      </c>
      <c r="D48" s="86" t="s">
        <v>203</v>
      </c>
      <c r="E48" s="86" t="s">
        <v>204</v>
      </c>
      <c r="F48" s="85"/>
      <c r="G48" s="86" t="s">
        <v>9</v>
      </c>
      <c r="H48" s="137"/>
      <c r="I48" s="92"/>
      <c r="J48" s="87"/>
    </row>
    <row r="49" spans="1:10" ht="80.099999999999994" customHeight="1">
      <c r="A49" s="136" t="s">
        <v>205</v>
      </c>
      <c r="B49" s="86" t="s">
        <v>206</v>
      </c>
      <c r="C49" s="86" t="s">
        <v>207</v>
      </c>
      <c r="D49" s="86" t="s">
        <v>208</v>
      </c>
      <c r="E49" s="86" t="s">
        <v>209</v>
      </c>
      <c r="F49" s="85"/>
      <c r="G49" s="86" t="s">
        <v>9</v>
      </c>
      <c r="H49" s="137"/>
      <c r="I49" s="92"/>
      <c r="J49" s="87"/>
    </row>
    <row r="50" spans="1:10" ht="80.099999999999994" customHeight="1">
      <c r="A50" s="136" t="s">
        <v>210</v>
      </c>
      <c r="B50" s="86" t="s">
        <v>211</v>
      </c>
      <c r="C50" s="86" t="s">
        <v>212</v>
      </c>
      <c r="D50" s="86" t="s">
        <v>213</v>
      </c>
      <c r="E50" s="86" t="s">
        <v>214</v>
      </c>
      <c r="F50" s="85"/>
      <c r="G50" s="86" t="s">
        <v>9</v>
      </c>
      <c r="H50" s="137"/>
      <c r="I50" s="92"/>
      <c r="J50" s="87"/>
    </row>
    <row r="51" spans="1:10" ht="80.099999999999994" customHeight="1">
      <c r="A51" s="136" t="s">
        <v>215</v>
      </c>
      <c r="B51" s="86" t="s">
        <v>216</v>
      </c>
      <c r="C51" s="86" t="s">
        <v>217</v>
      </c>
      <c r="D51" s="86" t="s">
        <v>218</v>
      </c>
      <c r="E51" s="86" t="s">
        <v>219</v>
      </c>
      <c r="F51" s="85"/>
      <c r="G51" s="86" t="s">
        <v>9</v>
      </c>
      <c r="H51" s="137"/>
      <c r="I51" s="92"/>
      <c r="J51" s="87"/>
    </row>
    <row r="52" spans="1:10" ht="80.099999999999994" customHeight="1">
      <c r="A52" s="136" t="s">
        <v>220</v>
      </c>
      <c r="B52" s="86" t="s">
        <v>221</v>
      </c>
      <c r="C52" s="86" t="s">
        <v>222</v>
      </c>
      <c r="D52" s="86" t="s">
        <v>223</v>
      </c>
      <c r="E52" s="86" t="s">
        <v>224</v>
      </c>
      <c r="F52" s="85"/>
      <c r="G52" s="86" t="s">
        <v>9</v>
      </c>
      <c r="H52" s="137"/>
      <c r="I52" s="92"/>
      <c r="J52" s="87"/>
    </row>
    <row r="53" spans="1:10" ht="80.099999999999994" customHeight="1">
      <c r="A53" s="136" t="s">
        <v>225</v>
      </c>
      <c r="B53" s="86" t="s">
        <v>226</v>
      </c>
      <c r="C53" s="86" t="s">
        <v>227</v>
      </c>
      <c r="D53" s="86" t="s">
        <v>228</v>
      </c>
      <c r="E53" s="86" t="s">
        <v>164</v>
      </c>
      <c r="F53" s="85"/>
      <c r="G53" s="86" t="s">
        <v>9</v>
      </c>
      <c r="H53" s="137"/>
      <c r="I53" s="92"/>
      <c r="J53" s="87"/>
    </row>
    <row r="54" spans="1:10" ht="15.4" customHeight="1">
      <c r="A54" s="132"/>
      <c r="B54" s="132" t="s">
        <v>229</v>
      </c>
      <c r="C54" s="133"/>
      <c r="D54" s="133"/>
      <c r="E54" s="133"/>
      <c r="F54" s="133"/>
      <c r="G54" s="133"/>
      <c r="H54" s="133"/>
      <c r="I54" s="134"/>
      <c r="J54" s="135"/>
    </row>
    <row r="55" spans="1:10" ht="80.099999999999994" customHeight="1">
      <c r="A55" s="136" t="s">
        <v>230</v>
      </c>
      <c r="B55" s="86" t="s">
        <v>231</v>
      </c>
      <c r="C55" s="86" t="s">
        <v>232</v>
      </c>
      <c r="D55" s="86" t="s">
        <v>233</v>
      </c>
      <c r="E55" s="86" t="s">
        <v>234</v>
      </c>
      <c r="F55" s="85"/>
      <c r="G55" s="86" t="s">
        <v>5</v>
      </c>
      <c r="H55" s="137" t="s">
        <v>28</v>
      </c>
      <c r="I55" s="92" t="s">
        <v>235</v>
      </c>
      <c r="J55" s="87"/>
    </row>
    <row r="56" spans="1:10" ht="80.099999999999994" customHeight="1">
      <c r="A56" s="136" t="s">
        <v>236</v>
      </c>
      <c r="B56" s="86" t="s">
        <v>237</v>
      </c>
      <c r="C56" s="86" t="s">
        <v>238</v>
      </c>
      <c r="D56" s="86" t="s">
        <v>239</v>
      </c>
      <c r="E56" s="86" t="s">
        <v>240</v>
      </c>
      <c r="F56" s="85"/>
      <c r="G56" s="86" t="s">
        <v>9</v>
      </c>
      <c r="H56" s="137"/>
      <c r="I56" s="92"/>
      <c r="J56" s="87"/>
    </row>
    <row r="57" spans="1:10" ht="80.099999999999994" customHeight="1">
      <c r="A57" s="136" t="s">
        <v>241</v>
      </c>
      <c r="B57" s="86" t="s">
        <v>242</v>
      </c>
      <c r="C57" s="86" t="s">
        <v>243</v>
      </c>
      <c r="D57" s="86" t="s">
        <v>244</v>
      </c>
      <c r="E57" s="86" t="s">
        <v>245</v>
      </c>
      <c r="F57" s="85"/>
      <c r="G57" s="86" t="s">
        <v>9</v>
      </c>
      <c r="H57" s="137"/>
      <c r="I57" s="92"/>
      <c r="J57" s="87"/>
    </row>
    <row r="58" spans="1:10" ht="15.4" customHeight="1">
      <c r="A58" s="132"/>
      <c r="B58" s="132" t="s">
        <v>246</v>
      </c>
      <c r="C58" s="133"/>
      <c r="D58" s="133"/>
      <c r="E58" s="133"/>
      <c r="F58" s="133"/>
      <c r="G58" s="133"/>
      <c r="H58" s="133"/>
      <c r="I58" s="134"/>
      <c r="J58" s="135"/>
    </row>
    <row r="59" spans="1:10" ht="80.099999999999994" customHeight="1">
      <c r="A59" s="136" t="s">
        <v>247</v>
      </c>
      <c r="B59" s="86" t="s">
        <v>248</v>
      </c>
      <c r="C59" s="86" t="s">
        <v>249</v>
      </c>
      <c r="D59" s="86" t="s">
        <v>250</v>
      </c>
      <c r="E59" s="86" t="s">
        <v>251</v>
      </c>
      <c r="F59" s="85"/>
      <c r="G59" s="86" t="s">
        <v>9</v>
      </c>
      <c r="H59" s="137"/>
      <c r="I59" s="92"/>
      <c r="J59" s="87"/>
    </row>
    <row r="60" spans="1:10" ht="80.099999999999994" customHeight="1">
      <c r="A60" s="136" t="s">
        <v>252</v>
      </c>
      <c r="B60" s="86" t="s">
        <v>253</v>
      </c>
      <c r="C60" s="86" t="s">
        <v>254</v>
      </c>
      <c r="D60" s="86" t="s">
        <v>255</v>
      </c>
      <c r="E60" s="86" t="s">
        <v>210</v>
      </c>
      <c r="F60" s="85"/>
      <c r="G60" s="86" t="s">
        <v>9</v>
      </c>
      <c r="H60" s="137"/>
      <c r="I60" s="92"/>
      <c r="J60" s="87"/>
    </row>
    <row r="61" spans="1:10" ht="80.099999999999994" customHeight="1">
      <c r="A61" s="136" t="s">
        <v>256</v>
      </c>
      <c r="B61" s="86" t="s">
        <v>257</v>
      </c>
      <c r="C61" s="86" t="s">
        <v>258</v>
      </c>
      <c r="D61" s="86" t="s">
        <v>259</v>
      </c>
      <c r="E61" s="86" t="s">
        <v>200</v>
      </c>
      <c r="F61" s="85"/>
      <c r="G61" s="86" t="s">
        <v>9</v>
      </c>
      <c r="H61" s="137"/>
      <c r="I61" s="92"/>
      <c r="J61" s="87"/>
    </row>
    <row r="62" spans="1:10" ht="80.099999999999994" customHeight="1">
      <c r="A62" s="136" t="s">
        <v>260</v>
      </c>
      <c r="B62" s="86" t="s">
        <v>261</v>
      </c>
      <c r="C62" s="86" t="s">
        <v>262</v>
      </c>
      <c r="D62" s="86" t="s">
        <v>263</v>
      </c>
      <c r="E62" s="86" t="s">
        <v>264</v>
      </c>
      <c r="F62" s="85"/>
      <c r="G62" s="86" t="s">
        <v>9</v>
      </c>
      <c r="H62" s="137"/>
      <c r="I62" s="92"/>
      <c r="J62" s="87"/>
    </row>
    <row r="63" spans="1:10" ht="15.4" customHeight="1">
      <c r="A63" s="132"/>
      <c r="B63" s="132" t="s">
        <v>265</v>
      </c>
      <c r="C63" s="133"/>
      <c r="D63" s="133"/>
      <c r="E63" s="133"/>
      <c r="F63" s="133"/>
      <c r="G63" s="133"/>
      <c r="H63" s="133"/>
      <c r="I63" s="134"/>
      <c r="J63" s="135"/>
    </row>
    <row r="64" spans="1:10" ht="80.099999999999994" customHeight="1">
      <c r="A64" s="136" t="s">
        <v>266</v>
      </c>
      <c r="B64" s="86" t="s">
        <v>267</v>
      </c>
      <c r="C64" s="86" t="s">
        <v>268</v>
      </c>
      <c r="D64" s="86" t="s">
        <v>269</v>
      </c>
      <c r="E64" s="86" t="s">
        <v>270</v>
      </c>
      <c r="F64" s="85"/>
      <c r="G64" s="86" t="s">
        <v>9</v>
      </c>
      <c r="H64" s="137"/>
      <c r="I64" s="92"/>
      <c r="J64" s="87"/>
    </row>
    <row r="65" spans="1:10" ht="80.099999999999994" customHeight="1">
      <c r="A65" s="136" t="s">
        <v>271</v>
      </c>
      <c r="B65" s="86" t="s">
        <v>272</v>
      </c>
      <c r="C65" s="86" t="s">
        <v>273</v>
      </c>
      <c r="D65" s="86" t="s">
        <v>274</v>
      </c>
      <c r="E65" s="86" t="s">
        <v>266</v>
      </c>
      <c r="F65" s="85"/>
      <c r="G65" s="86" t="s">
        <v>9</v>
      </c>
      <c r="H65" s="137"/>
      <c r="I65" s="92"/>
      <c r="J65" s="87"/>
    </row>
    <row r="66" spans="1:10" ht="80.099999999999994" customHeight="1">
      <c r="A66" s="136" t="s">
        <v>275</v>
      </c>
      <c r="B66" s="86" t="s">
        <v>276</v>
      </c>
      <c r="C66" s="86" t="s">
        <v>277</v>
      </c>
      <c r="D66" s="86" t="s">
        <v>278</v>
      </c>
      <c r="E66" s="86" t="s">
        <v>266</v>
      </c>
      <c r="F66" s="85"/>
      <c r="G66" s="86" t="s">
        <v>9</v>
      </c>
      <c r="H66" s="137"/>
      <c r="I66" s="92"/>
      <c r="J66" s="87"/>
    </row>
    <row r="67" spans="1:10" ht="80.099999999999994" customHeight="1">
      <c r="A67" s="136" t="s">
        <v>279</v>
      </c>
      <c r="B67" s="86" t="s">
        <v>280</v>
      </c>
      <c r="C67" s="86" t="s">
        <v>281</v>
      </c>
      <c r="D67" s="86" t="s">
        <v>282</v>
      </c>
      <c r="E67" s="86" t="s">
        <v>164</v>
      </c>
      <c r="F67" s="85"/>
      <c r="G67" s="86" t="s">
        <v>9</v>
      </c>
      <c r="H67" s="137"/>
      <c r="I67" s="92"/>
      <c r="J67" s="87"/>
    </row>
    <row r="68" spans="1:10" ht="15.4" customHeight="1">
      <c r="A68" s="132"/>
      <c r="B68" s="132" t="s">
        <v>283</v>
      </c>
      <c r="C68" s="133"/>
      <c r="D68" s="133"/>
      <c r="E68" s="133"/>
      <c r="F68" s="133"/>
      <c r="G68" s="133"/>
      <c r="H68" s="133"/>
      <c r="I68" s="134"/>
      <c r="J68" s="135"/>
    </row>
    <row r="69" spans="1:10" ht="80.099999999999994" customHeight="1">
      <c r="A69" s="136" t="s">
        <v>284</v>
      </c>
      <c r="B69" s="86" t="s">
        <v>285</v>
      </c>
      <c r="C69" s="86" t="s">
        <v>286</v>
      </c>
      <c r="D69" s="86" t="s">
        <v>287</v>
      </c>
      <c r="E69" s="86" t="s">
        <v>164</v>
      </c>
      <c r="F69" s="85"/>
      <c r="G69" s="86" t="s">
        <v>9</v>
      </c>
      <c r="H69" s="137"/>
      <c r="I69" s="92"/>
      <c r="J69" s="87"/>
    </row>
    <row r="70" spans="1:10" ht="80.099999999999994" customHeight="1">
      <c r="A70" s="136" t="s">
        <v>288</v>
      </c>
      <c r="B70" s="86" t="s">
        <v>289</v>
      </c>
      <c r="C70" s="86" t="s">
        <v>290</v>
      </c>
      <c r="D70" s="86" t="s">
        <v>291</v>
      </c>
      <c r="E70" s="86" t="s">
        <v>164</v>
      </c>
      <c r="F70" s="85"/>
      <c r="G70" s="86" t="s">
        <v>9</v>
      </c>
      <c r="H70" s="137"/>
      <c r="I70" s="92"/>
      <c r="J70" s="87"/>
    </row>
    <row r="71" spans="1:10" ht="80.099999999999994" customHeight="1">
      <c r="A71" s="136" t="s">
        <v>292</v>
      </c>
      <c r="B71" s="86" t="s">
        <v>293</v>
      </c>
      <c r="C71" s="86" t="s">
        <v>294</v>
      </c>
      <c r="D71" s="86" t="s">
        <v>295</v>
      </c>
      <c r="E71" s="86" t="s">
        <v>296</v>
      </c>
      <c r="F71" s="85"/>
      <c r="G71" s="86" t="s">
        <v>9</v>
      </c>
      <c r="H71" s="137"/>
      <c r="I71" s="92"/>
      <c r="J71" s="87"/>
    </row>
    <row r="72" spans="1:10" ht="80.099999999999994" customHeight="1">
      <c r="A72" s="136" t="s">
        <v>297</v>
      </c>
      <c r="B72" s="86" t="s">
        <v>298</v>
      </c>
      <c r="C72" s="86" t="s">
        <v>299</v>
      </c>
      <c r="D72" s="86" t="s">
        <v>300</v>
      </c>
      <c r="E72" s="86" t="s">
        <v>301</v>
      </c>
      <c r="F72" s="85"/>
      <c r="G72" s="86" t="s">
        <v>9</v>
      </c>
      <c r="H72" s="137"/>
      <c r="I72" s="92"/>
      <c r="J72" s="87"/>
    </row>
    <row r="73" spans="1:10" ht="80.099999999999994" customHeight="1">
      <c r="A73" s="136" t="s">
        <v>302</v>
      </c>
      <c r="B73" s="86" t="s">
        <v>303</v>
      </c>
      <c r="C73" s="86" t="s">
        <v>304</v>
      </c>
      <c r="D73" s="86" t="s">
        <v>305</v>
      </c>
      <c r="E73" s="86" t="s">
        <v>306</v>
      </c>
      <c r="F73" s="85"/>
      <c r="G73" s="86" t="s">
        <v>9</v>
      </c>
      <c r="H73" s="137"/>
      <c r="I73" s="92"/>
      <c r="J73" s="87"/>
    </row>
    <row r="74" spans="1:10" ht="80.099999999999994" customHeight="1">
      <c r="A74" s="136" t="s">
        <v>307</v>
      </c>
      <c r="B74" s="86" t="s">
        <v>308</v>
      </c>
      <c r="C74" s="86" t="s">
        <v>309</v>
      </c>
      <c r="D74" s="86" t="s">
        <v>310</v>
      </c>
      <c r="E74" s="86" t="s">
        <v>292</v>
      </c>
      <c r="F74" s="85"/>
      <c r="G74" s="86" t="s">
        <v>9</v>
      </c>
      <c r="H74" s="137"/>
      <c r="I74" s="92"/>
      <c r="J74" s="87"/>
    </row>
    <row r="75" spans="1:10" ht="15.4" customHeight="1">
      <c r="A75" s="132"/>
      <c r="B75" s="132" t="s">
        <v>311</v>
      </c>
      <c r="C75" s="133"/>
      <c r="D75" s="133"/>
      <c r="E75" s="133"/>
      <c r="F75" s="133"/>
      <c r="G75" s="133"/>
      <c r="H75" s="133"/>
      <c r="I75" s="134"/>
      <c r="J75" s="135"/>
    </row>
    <row r="76" spans="1:10" ht="80.099999999999994" customHeight="1">
      <c r="A76" s="136" t="s">
        <v>312</v>
      </c>
      <c r="B76" s="86" t="s">
        <v>313</v>
      </c>
      <c r="C76" s="86" t="s">
        <v>314</v>
      </c>
      <c r="D76" s="86" t="s">
        <v>315</v>
      </c>
      <c r="E76" s="86" t="s">
        <v>316</v>
      </c>
      <c r="F76" s="85"/>
      <c r="G76" s="86" t="s">
        <v>9</v>
      </c>
      <c r="H76" s="137"/>
      <c r="I76" s="92"/>
      <c r="J76" s="87"/>
    </row>
    <row r="77" spans="1:10" ht="80.099999999999994" customHeight="1">
      <c r="A77" s="136" t="s">
        <v>317</v>
      </c>
      <c r="B77" s="86" t="s">
        <v>318</v>
      </c>
      <c r="C77" s="86" t="s">
        <v>319</v>
      </c>
      <c r="D77" s="86" t="s">
        <v>320</v>
      </c>
      <c r="E77" s="86" t="s">
        <v>302</v>
      </c>
      <c r="F77" s="85"/>
      <c r="G77" s="86" t="s">
        <v>9</v>
      </c>
      <c r="H77" s="137"/>
      <c r="I77" s="92"/>
      <c r="J77" s="87"/>
    </row>
    <row r="78" spans="1:10" ht="80.099999999999994" customHeight="1">
      <c r="A78" s="136" t="s">
        <v>321</v>
      </c>
      <c r="B78" s="86" t="s">
        <v>322</v>
      </c>
      <c r="C78" s="86" t="s">
        <v>323</v>
      </c>
      <c r="D78" s="86" t="s">
        <v>324</v>
      </c>
      <c r="E78" s="86" t="s">
        <v>200</v>
      </c>
      <c r="F78" s="85"/>
      <c r="G78" s="86" t="s">
        <v>9</v>
      </c>
      <c r="H78" s="137"/>
      <c r="I78" s="92"/>
      <c r="J78" s="87"/>
    </row>
  </sheetData>
  <mergeCells count="5">
    <mergeCell ref="B3:G3"/>
    <mergeCell ref="B2:G2"/>
    <mergeCell ref="E5:G5"/>
    <mergeCell ref="B4:G4"/>
    <mergeCell ref="E6:G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 List</vt:lpstr>
      <vt:lpstr>BC</vt:lpstr>
      <vt:lpstr>Test Report</vt:lpstr>
      <vt:lpstr>Login</vt:lpstr>
      <vt:lpstr>TEST_CASE_CURSOR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openpyxl</dc:creator>
  <dc:description>Updates sheet Cover: Add logo, document code, creator, reviewer/approver._x000d_
Add sheet Test Case List._x000d_
Change Sheet Company, User, Provider to Modules. Add column Inter-test case dependent. Update these sheets._x000d_
Update Test Report</dc:description>
  <cp:lastModifiedBy>Admin</cp:lastModifiedBy>
  <dcterms:created xsi:type="dcterms:W3CDTF">2025-02-27T06:17:15Z</dcterms:created>
  <dcterms:modified xsi:type="dcterms:W3CDTF">2026-06-23T03:49:56Z</dcterms:modified>
  <cp:category>BM</cp:category>
</cp:coreProperties>
</file>