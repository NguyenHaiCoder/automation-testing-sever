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706" firstSheet="0" activeTab="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 List" sheetId="2" state="visible" r:id="rId2"/>
    <sheet xmlns:r="http://schemas.openxmlformats.org/officeDocument/2006/relationships" name="BC" sheetId="3" state="visible" r:id="rId3"/>
    <sheet xmlns:r="http://schemas.openxmlformats.org/officeDocument/2006/relationships" name="Test Report" sheetId="4" state="visible" r:id="rId4"/>
    <sheet xmlns:r="http://schemas.openxmlformats.org/officeDocument/2006/relationships" name="Login" sheetId="5" state="visible" r:id="rId5"/>
    <sheet xmlns:r="http://schemas.openxmlformats.org/officeDocument/2006/relationships" name="TEST_CASE_CURSOR" sheetId="6" state="visible" r:id="rId6"/>
  </sheets>
  <definedNames>
    <definedName name="ACTION">#REF!</definedName>
    <definedName name="_xlnm._FilterDatabase" localSheetId="2" hidden="1">'BC'!$A$8:$I$16</definedName>
    <definedName name="_xlnm._FilterDatabase" localSheetId="4" hidden="1">'Login'!$A$8:$I$18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\-mmm\-yy;@"/>
  </numFmts>
  <fonts count="25">
    <font>
      <name val="ＭＳ Ｐゴシック"/>
      <charset val="128"/>
      <sz val="11"/>
    </font>
    <font>
      <name val="ＭＳ ゴシック"/>
      <charset val="128"/>
      <family val="3"/>
      <sz val="9"/>
    </font>
    <font>
      <name val="Tahoma"/>
      <family val="2"/>
      <sz val="10"/>
    </font>
    <font>
      <name val="Tahoma"/>
      <family val="2"/>
      <b val="1"/>
      <color indexed="10"/>
      <sz val="22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b val="1"/>
      <color indexed="9"/>
      <sz val="10"/>
    </font>
    <font>
      <name val="Times New Roman"/>
      <family val="1"/>
      <b val="1"/>
      <color indexed="8"/>
      <sz val="10"/>
    </font>
    <font>
      <name val="Times New Roman"/>
      <family val="1"/>
      <color indexed="8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Tahoma"/>
      <family val="2"/>
      <b val="1"/>
      <sz val="10"/>
    </font>
    <font>
      <name val="Tahoma"/>
      <family val="2"/>
      <color indexed="12"/>
      <sz val="10"/>
      <u val="single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indexed="10"/>
      <sz val="10"/>
    </font>
    <font>
      <name val="Tahoma"/>
      <family val="2"/>
      <color indexed="8"/>
      <sz val="10"/>
    </font>
    <font>
      <name val="Times New Roman"/>
      <family val="1"/>
      <b val="1"/>
      <color indexed="8"/>
      <sz val="8"/>
    </font>
    <font>
      <name val="Tahoma"/>
      <family val="2"/>
      <color indexed="9"/>
      <sz val="10"/>
    </font>
    <font>
      <name val="Tahoma"/>
      <family val="2"/>
      <b val="1"/>
      <color indexed="12"/>
      <sz val="10"/>
    </font>
    <font>
      <name val="ＭＳ Ｐゴシック"/>
      <charset val="128"/>
      <sz val="11"/>
    </font>
    <font>
      <name val="Tahoma"/>
      <family val="2"/>
      <color rgb="FFFF0000"/>
      <sz val="10"/>
    </font>
    <font>
      <name val="Tahoma"/>
      <family val="2"/>
      <b val="1"/>
      <color rgb="FFFF0000"/>
      <sz val="10"/>
    </font>
    <font>
      <name val="Tahoma"/>
      <family val="2"/>
      <i val="1"/>
      <color rgb="FFFF0000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</fills>
  <borders count="4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</borders>
  <cellStyleXfs count="5">
    <xf numFmtId="0" fontId="21" fillId="0" borderId="0"/>
    <xf numFmtId="0" fontId="15" fillId="0" borderId="0"/>
    <xf numFmtId="0" fontId="21" fillId="0" borderId="0"/>
    <xf numFmtId="0" fontId="21" fillId="0" borderId="0"/>
    <xf numFmtId="0" fontId="1" fillId="0" borderId="0"/>
  </cellStyleXfs>
  <cellXfs count="167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indent="1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indent="1"/>
    </xf>
    <xf numFmtId="0" fontId="7" fillId="0" borderId="0" applyAlignment="1" pivotButton="0" quotePrefix="0" xfId="0">
      <alignment horizontal="left" indent="1"/>
    </xf>
    <xf numFmtId="0" fontId="2" fillId="2" borderId="0" pivotButton="0" quotePrefix="0" xfId="0"/>
    <xf numFmtId="0" fontId="6" fillId="2" borderId="2" applyAlignment="1" pivotButton="0" quotePrefix="0" xfId="0">
      <alignment horizontal="left"/>
    </xf>
    <xf numFmtId="0" fontId="2" fillId="0" borderId="3" pivotButton="0" quotePrefix="0" xfId="0"/>
    <xf numFmtId="0" fontId="6" fillId="2" borderId="2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indent="1"/>
    </xf>
    <xf numFmtId="0" fontId="6" fillId="2" borderId="0" pivotButton="0" quotePrefix="0" xfId="0"/>
    <xf numFmtId="0" fontId="7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164" fontId="8" fillId="3" borderId="4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7" fillId="0" borderId="7" applyAlignment="1" pivotButton="0" quotePrefix="0" xfId="0">
      <alignment vertical="top" wrapText="1"/>
    </xf>
    <xf numFmtId="49" fontId="2" fillId="0" borderId="8" applyAlignment="1" pivotButton="0" quotePrefix="0" xfId="0">
      <alignment vertical="top"/>
    </xf>
    <xf numFmtId="0" fontId="2" fillId="0" borderId="8" applyAlignment="1" pivotButton="0" quotePrefix="0" xfId="0">
      <alignment vertical="top"/>
    </xf>
    <xf numFmtId="15" fontId="2" fillId="0" borderId="8" applyAlignment="1" pivotButton="0" quotePrefix="0" xfId="0">
      <alignment vertical="top"/>
    </xf>
    <xf numFmtId="0" fontId="7" fillId="0" borderId="9" applyAlignment="1" pivotButton="0" quotePrefix="0" xfId="0">
      <alignment vertical="top" wrapText="1"/>
    </xf>
    <xf numFmtId="164" fontId="2" fillId="0" borderId="7" applyAlignment="1" pivotButton="0" quotePrefix="0" xfId="0">
      <alignment vertical="top"/>
    </xf>
    <xf numFmtId="0" fontId="2" fillId="0" borderId="9" applyAlignment="1" pivotButton="0" quotePrefix="0" xfId="0">
      <alignment vertical="top"/>
    </xf>
    <xf numFmtId="164" fontId="2" fillId="0" borderId="10" applyAlignment="1" pivotButton="0" quotePrefix="0" xfId="0">
      <alignment vertical="top"/>
    </xf>
    <xf numFmtId="49" fontId="2" fillId="0" borderId="11" applyAlignment="1" pivotButton="0" quotePrefix="0" xfId="0">
      <alignment vertical="top"/>
    </xf>
    <xf numFmtId="0" fontId="2" fillId="0" borderId="11" applyAlignment="1" pivotButton="0" quotePrefix="0" xfId="0">
      <alignment vertical="top"/>
    </xf>
    <xf numFmtId="0" fontId="2" fillId="0" borderId="12" applyAlignment="1" pivotButton="0" quotePrefix="0" xfId="0">
      <alignment vertical="top"/>
    </xf>
    <xf numFmtId="1" fontId="2" fillId="2" borderId="0" pivotButton="0" quotePrefix="0" xfId="0"/>
    <xf numFmtId="0" fontId="2" fillId="2" borderId="0" applyAlignment="1" pivotButton="0" quotePrefix="0" xfId="0">
      <alignment horizontal="left"/>
    </xf>
    <xf numFmtId="1" fontId="2" fillId="2" borderId="0" applyProtection="1" pivotButton="0" quotePrefix="0" xfId="0">
      <protection locked="1" hidden="1"/>
    </xf>
    <xf numFmtId="0" fontId="5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/>
    </xf>
    <xf numFmtId="0" fontId="12" fillId="2" borderId="0" applyAlignment="1" pivotButton="0" quotePrefix="0" xfId="0">
      <alignment horizontal="left"/>
    </xf>
    <xf numFmtId="0" fontId="2" fillId="2" borderId="0" applyAlignment="1" pivotButton="0" quotePrefix="0" xfId="0">
      <alignment wrapText="1"/>
    </xf>
    <xf numFmtId="1" fontId="6" fillId="2" borderId="0" pivotButton="0" quotePrefix="0" xfId="0"/>
    <xf numFmtId="0" fontId="2" fillId="2" borderId="0" applyAlignment="1" pivotButton="0" quotePrefix="0" xfId="0">
      <alignment vertical="center"/>
    </xf>
    <xf numFmtId="1" fontId="2" fillId="2" borderId="0" applyAlignment="1" applyProtection="1" pivotButton="0" quotePrefix="0" xfId="0">
      <alignment vertical="center"/>
      <protection locked="1" hidden="1"/>
    </xf>
    <xf numFmtId="0" fontId="2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/>
    </xf>
    <xf numFmtId="1" fontId="8" fillId="4" borderId="4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8" fillId="4" borderId="13" applyAlignment="1" pivotButton="0" quotePrefix="0" xfId="0">
      <alignment horizontal="center" vertical="center"/>
    </xf>
    <xf numFmtId="0" fontId="8" fillId="4" borderId="6" applyAlignment="1" pivotButton="0" quotePrefix="0" xfId="0">
      <alignment horizontal="center" vertical="center"/>
    </xf>
    <xf numFmtId="1" fontId="2" fillId="2" borderId="7" applyAlignment="1" pivotButton="0" quotePrefix="0" xfId="0">
      <alignment vertical="center"/>
    </xf>
    <xf numFmtId="49" fontId="2" fillId="2" borderId="8" applyAlignment="1" pivotButton="0" quotePrefix="0" xfId="0">
      <alignment horizontal="left" vertical="center"/>
    </xf>
    <xf numFmtId="0" fontId="14" fillId="2" borderId="8" applyAlignment="1" pivotButton="0" quotePrefix="0" xfId="1">
      <alignment horizontal="left" vertical="center"/>
    </xf>
    <xf numFmtId="0" fontId="2" fillId="2" borderId="9" applyAlignment="1" pivotButton="0" quotePrefix="0" xfId="0">
      <alignment horizontal="left" vertical="center"/>
    </xf>
    <xf numFmtId="0" fontId="2" fillId="2" borderId="8" applyAlignment="1" pivotButton="0" quotePrefix="0" xfId="0">
      <alignment horizontal="left" vertical="center"/>
    </xf>
    <xf numFmtId="1" fontId="2" fillId="2" borderId="10" applyAlignment="1" pivotButton="0" quotePrefix="0" xfId="0">
      <alignment vertical="center"/>
    </xf>
    <xf numFmtId="49" fontId="2" fillId="2" borderId="11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2" fillId="2" borderId="12" applyAlignment="1" pivotButton="0" quotePrefix="0" xfId="0">
      <alignment horizontal="left" vertical="center"/>
    </xf>
    <xf numFmtId="0" fontId="16" fillId="2" borderId="0" pivotButton="0" quotePrefix="0" xfId="0"/>
    <xf numFmtId="0" fontId="17" fillId="2" borderId="14" pivotButton="0" quotePrefix="0" xfId="0"/>
    <xf numFmtId="0" fontId="17" fillId="2" borderId="14" applyAlignment="1" pivotButton="0" quotePrefix="0" xfId="0">
      <alignment wrapText="1"/>
    </xf>
    <xf numFmtId="0" fontId="2" fillId="2" borderId="14" applyAlignment="1" pivotButton="0" quotePrefix="0" xfId="0">
      <alignment wrapText="1"/>
    </xf>
    <xf numFmtId="0" fontId="13" fillId="2" borderId="0" applyAlignment="1" pivotButton="0" quotePrefix="0" xfId="0">
      <alignment wrapText="1"/>
    </xf>
    <xf numFmtId="0" fontId="16" fillId="2" borderId="0" applyAlignment="1" pivotButton="0" quotePrefix="0" xfId="0">
      <alignment wrapText="1"/>
    </xf>
    <xf numFmtId="0" fontId="17" fillId="2" borderId="0" pivotButton="0" quotePrefix="0" xfId="0"/>
    <xf numFmtId="0" fontId="13" fillId="2" borderId="15" applyAlignment="1" pivotButton="0" quotePrefix="0" xfId="3">
      <alignment horizontal="left" wrapText="1"/>
    </xf>
    <xf numFmtId="0" fontId="13" fillId="2" borderId="16" applyAlignment="1" pivotButton="0" quotePrefix="0" xfId="3">
      <alignment horizontal="left" wrapText="1"/>
    </xf>
    <xf numFmtId="0" fontId="11" fillId="2" borderId="0" pivotButton="0" quotePrefix="0" xfId="0"/>
    <xf numFmtId="0" fontId="11" fillId="2" borderId="16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wrapText="1"/>
    </xf>
    <xf numFmtId="0" fontId="16" fillId="2" borderId="0" applyAlignment="1" pivotButton="0" quotePrefix="0" xfId="0">
      <alignment horizontal="center" wrapText="1"/>
    </xf>
    <xf numFmtId="0" fontId="17" fillId="2" borderId="17" applyAlignment="1" pivotButton="0" quotePrefix="0" xfId="0">
      <alignment horizontal="center" vertical="center"/>
    </xf>
    <xf numFmtId="0" fontId="17" fillId="2" borderId="18" applyAlignment="1" pivotButton="0" quotePrefix="0" xfId="0">
      <alignment horizontal="center" vertical="center"/>
    </xf>
    <xf numFmtId="0" fontId="17" fillId="2" borderId="1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wrapText="1"/>
    </xf>
    <xf numFmtId="0" fontId="8" fillId="3" borderId="2" applyAlignment="1" pivotButton="0" quotePrefix="0" xfId="3">
      <alignment horizontal="center" vertical="center" wrapText="1"/>
    </xf>
    <xf numFmtId="0" fontId="8" fillId="3" borderId="20" applyAlignment="1" pivotButton="0" quotePrefix="0" xfId="3">
      <alignment horizontal="center" vertical="center" wrapText="1"/>
    </xf>
    <xf numFmtId="0" fontId="12" fillId="2" borderId="0" applyAlignment="1" pivotButton="0" quotePrefix="0" xfId="3">
      <alignment horizontal="center" vertical="center" wrapText="1"/>
    </xf>
    <xf numFmtId="0" fontId="13" fillId="5" borderId="1" applyAlignment="1" pivotButton="0" quotePrefix="0" xfId="3">
      <alignment horizontal="left" vertical="center"/>
    </xf>
    <xf numFmtId="0" fontId="13" fillId="5" borderId="21" applyAlignment="1" pivotButton="0" quotePrefix="0" xfId="3">
      <alignment horizontal="left" vertical="center"/>
    </xf>
    <xf numFmtId="0" fontId="13" fillId="5" borderId="3" applyAlignment="1" pivotButton="0" quotePrefix="0" xfId="3">
      <alignment horizontal="left" vertical="center"/>
    </xf>
    <xf numFmtId="0" fontId="12" fillId="2" borderId="0" applyAlignment="1" pivotButton="0" quotePrefix="0" xfId="3">
      <alignment horizontal="left" vertical="center"/>
    </xf>
    <xf numFmtId="0" fontId="2" fillId="2" borderId="2" applyAlignment="1" pivotButton="0" quotePrefix="0" xfId="3">
      <alignment vertical="top" wrapText="1"/>
    </xf>
    <xf numFmtId="0" fontId="7" fillId="2" borderId="2" applyAlignment="1" pivotButton="0" quotePrefix="0" xfId="3">
      <alignment vertical="top" wrapText="1"/>
    </xf>
    <xf numFmtId="0" fontId="7" fillId="2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vertical="top" wrapText="1"/>
    </xf>
    <xf numFmtId="0" fontId="16" fillId="2" borderId="0" applyAlignment="1" pivotButton="0" quotePrefix="0" xfId="0">
      <alignment vertical="top" wrapText="1"/>
    </xf>
    <xf numFmtId="0" fontId="17" fillId="2" borderId="0" applyAlignment="1" pivotButton="0" quotePrefix="0" xfId="0">
      <alignment vertical="top"/>
    </xf>
    <xf numFmtId="0" fontId="17" fillId="2" borderId="2" applyAlignment="1" pivotButton="0" quotePrefix="0" xfId="0">
      <alignment horizontal="left" vertical="top" wrapText="1"/>
    </xf>
    <xf numFmtId="0" fontId="2" fillId="2" borderId="2" pivotButton="0" quotePrefix="0" xfId="0"/>
    <xf numFmtId="0" fontId="17" fillId="2" borderId="22" applyAlignment="1" pivotButton="0" quotePrefix="0" xfId="0">
      <alignment horizontal="center" vertical="center"/>
    </xf>
    <xf numFmtId="0" fontId="17" fillId="2" borderId="2" applyAlignment="1" pivotButton="0" quotePrefix="0" xfId="0">
      <alignment vertical="top" wrapText="1"/>
    </xf>
    <xf numFmtId="0" fontId="13" fillId="2" borderId="0" pivotButton="0" quotePrefix="0" xfId="2"/>
    <xf numFmtId="0" fontId="2" fillId="2" borderId="0" pivotButton="0" quotePrefix="0" xfId="2"/>
    <xf numFmtId="164" fontId="2" fillId="2" borderId="0" pivotButton="0" quotePrefix="0" xfId="2"/>
    <xf numFmtId="0" fontId="6" fillId="2" borderId="3" applyAlignment="1" pivotButton="0" quotePrefix="0" xfId="0">
      <alignment horizontal="left"/>
    </xf>
    <xf numFmtId="0" fontId="2" fillId="2" borderId="3" applyAlignment="1" pivotButton="0" quotePrefix="0" xfId="0">
      <alignment vertical="top"/>
    </xf>
    <xf numFmtId="0" fontId="6" fillId="2" borderId="2" applyAlignment="1" pivotButton="0" quotePrefix="0" xfId="0">
      <alignment vertical="center"/>
    </xf>
    <xf numFmtId="0" fontId="7" fillId="2" borderId="3" applyAlignment="1" pivotButton="0" quotePrefix="0" xfId="0">
      <alignment vertical="top"/>
    </xf>
    <xf numFmtId="0" fontId="7" fillId="2" borderId="0" pivotButton="0" quotePrefix="0" xfId="2"/>
    <xf numFmtId="0" fontId="2" fillId="2" borderId="23" pivotButton="0" quotePrefix="0" xfId="0"/>
    <xf numFmtId="0" fontId="8" fillId="3" borderId="24" applyAlignment="1" pivotButton="0" quotePrefix="0" xfId="0">
      <alignment horizontal="center"/>
    </xf>
    <xf numFmtId="0" fontId="8" fillId="3" borderId="5" applyAlignment="1" pivotButton="0" quotePrefix="0" xfId="0">
      <alignment horizontal="center"/>
    </xf>
    <xf numFmtId="0" fontId="8" fillId="3" borderId="5" applyAlignment="1" pivotButton="0" quotePrefix="0" xfId="0">
      <alignment horizontal="center" wrapText="1"/>
    </xf>
    <xf numFmtId="0" fontId="8" fillId="3" borderId="13" applyAlignment="1" pivotButton="0" quotePrefix="0" xfId="0">
      <alignment horizontal="center"/>
    </xf>
    <xf numFmtId="0" fontId="8" fillId="3" borderId="25" applyAlignment="1" pivotButton="0" quotePrefix="0" xfId="0">
      <alignment horizontal="center" wrapText="1"/>
    </xf>
    <xf numFmtId="0" fontId="2" fillId="2" borderId="26" applyAlignment="1" pivotButton="0" quotePrefix="0" xfId="0">
      <alignment horizontal="center"/>
    </xf>
    <xf numFmtId="0" fontId="2" fillId="2" borderId="8" pivotButton="0" quotePrefix="0" xfId="0"/>
    <xf numFmtId="0" fontId="2" fillId="2" borderId="8" applyAlignment="1" pivotButton="0" quotePrefix="0" xfId="0">
      <alignment horizontal="center"/>
    </xf>
    <xf numFmtId="0" fontId="2" fillId="2" borderId="27" applyAlignment="1" pivotButton="0" quotePrefix="0" xfId="0">
      <alignment horizontal="center"/>
    </xf>
    <xf numFmtId="0" fontId="2" fillId="2" borderId="28" applyAlignment="1" pivotButton="0" quotePrefix="0" xfId="0">
      <alignment horizontal="center"/>
    </xf>
    <xf numFmtId="0" fontId="19" fillId="3" borderId="29" applyAlignment="1" pivotButton="0" quotePrefix="0" xfId="0">
      <alignment horizontal="center"/>
    </xf>
    <xf numFmtId="0" fontId="8" fillId="3" borderId="11" pivotButton="0" quotePrefix="0" xfId="0"/>
    <xf numFmtId="0" fontId="19" fillId="3" borderId="11" applyAlignment="1" pivotButton="0" quotePrefix="0" xfId="0">
      <alignment horizontal="center"/>
    </xf>
    <xf numFmtId="0" fontId="19" fillId="3" borderId="3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2" fillId="2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2" fontId="20" fillId="2" borderId="0" applyAlignment="1" pivotButton="0" quotePrefix="0" xfId="0">
      <alignment horizontal="right" wrapText="1"/>
    </xf>
    <xf numFmtId="16" fontId="2" fillId="2" borderId="2" applyAlignment="1" pivotButton="0" quotePrefix="0" xfId="3">
      <alignment vertical="top" wrapText="1"/>
    </xf>
    <xf numFmtId="0" fontId="22" fillId="2" borderId="2" applyAlignment="1" pivotButton="0" quotePrefix="0" xfId="3">
      <alignment vertical="top" wrapText="1"/>
    </xf>
    <xf numFmtId="0" fontId="7" fillId="2" borderId="2" applyAlignment="1" pivotButton="0" quotePrefix="1" xfId="0">
      <alignment horizontal="left" vertical="top" wrapText="1"/>
    </xf>
    <xf numFmtId="0" fontId="5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/>
    </xf>
    <xf numFmtId="0" fontId="6" fillId="2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1" fontId="6" fillId="2" borderId="2" applyAlignment="1" pivotButton="0" quotePrefix="0" xfId="0">
      <alignment vertical="center" wrapText="1"/>
    </xf>
    <xf numFmtId="0" fontId="7" fillId="2" borderId="2" applyAlignment="1" pivotButton="0" quotePrefix="0" xfId="0">
      <alignment vertical="top" wrapText="1"/>
    </xf>
    <xf numFmtId="1" fontId="6" fillId="2" borderId="1" pivotButton="0" quotePrefix="0" xfId="0"/>
    <xf numFmtId="0" fontId="7" fillId="2" borderId="2" applyAlignment="1" pivotButton="0" quotePrefix="0" xfId="0">
      <alignment horizontal="left"/>
    </xf>
    <xf numFmtId="0" fontId="17" fillId="2" borderId="31" applyAlignment="1" pivotButton="0" quotePrefix="0" xfId="0">
      <alignment horizontal="center" vertical="center" wrapText="1"/>
    </xf>
    <xf numFmtId="0" fontId="7" fillId="2" borderId="32" applyAlignment="1" pivotButton="0" quotePrefix="0" xfId="3">
      <alignment horizontal="left" wrapText="1"/>
    </xf>
    <xf numFmtId="0" fontId="7" fillId="2" borderId="33" applyAlignment="1" pivotButton="0" quotePrefix="0" xfId="3">
      <alignment horizontal="left" wrapText="1"/>
    </xf>
    <xf numFmtId="0" fontId="11" fillId="2" borderId="3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/>
    </xf>
    <xf numFmtId="0" fontId="7" fillId="2" borderId="2" applyAlignment="1" pivotButton="0" quotePrefix="0" xfId="2">
      <alignment vertical="top"/>
    </xf>
    <xf numFmtId="0" fontId="5" fillId="2" borderId="0" applyAlignment="1" pivotButton="0" quotePrefix="0" xfId="2">
      <alignment horizontal="center"/>
    </xf>
    <xf numFmtId="0" fontId="13" fillId="5" borderId="1" applyAlignment="1" pivotButton="0" quotePrefix="0" xfId="3">
      <alignment horizontal="left" vertical="center" wrapText="1"/>
    </xf>
    <xf numFmtId="0" fontId="24" fillId="2" borderId="2" applyAlignment="1" pivotButton="0" quotePrefix="0" xfId="0">
      <alignment horizontal="left" vertical="top" wrapText="1"/>
    </xf>
    <xf numFmtId="0" fontId="17" fillId="2" borderId="2" applyAlignment="1" pivotButton="0" quotePrefix="1" xfId="0">
      <alignment horizontal="left" vertical="top" wrapText="1"/>
    </xf>
    <xf numFmtId="0" fontId="0" fillId="0" borderId="21" pivotButton="0" quotePrefix="0" xfId="0"/>
    <xf numFmtId="0" fontId="0" fillId="0" borderId="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8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4" pivotButton="0" quotePrefix="0" xfId="0"/>
    <xf numFmtId="0" fontId="0" fillId="0" borderId="45" pivotButton="0" quotePrefix="0" xfId="0"/>
    <xf numFmtId="0" fontId="13" fillId="2" borderId="15" applyAlignment="1" pivotButton="0" quotePrefix="0" xfId="0">
      <alignment horizontal="left" wrapText="1"/>
    </xf>
    <xf numFmtId="0" fontId="7" fillId="2" borderId="32" applyAlignment="1" pivotButton="0" quotePrefix="0" xfId="0">
      <alignment horizontal="left" wrapText="1"/>
    </xf>
    <xf numFmtId="0" fontId="13" fillId="2" borderId="16" applyAlignment="1" pivotButton="0" quotePrefix="0" xfId="0">
      <alignment horizontal="left" wrapText="1"/>
    </xf>
    <xf numFmtId="0" fontId="7" fillId="2" borderId="33" applyAlignment="1" pivotButton="0" quotePrefix="0" xfId="0">
      <alignment horizontal="left" wrapText="1"/>
    </xf>
    <xf numFmtId="0" fontId="8" fillId="3" borderId="2" applyAlignment="1" pivotButton="0" quotePrefix="0" xfId="0">
      <alignment horizontal="center" vertical="center" wrapText="1"/>
    </xf>
    <xf numFmtId="0" fontId="8" fillId="3" borderId="2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/>
    </xf>
    <xf numFmtId="0" fontId="13" fillId="5" borderId="21" applyAlignment="1" pivotButton="0" quotePrefix="0" xfId="0">
      <alignment horizontal="left" vertical="center"/>
    </xf>
    <xf numFmtId="0" fontId="13" fillId="5" borderId="3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22" fillId="2" borderId="2" applyAlignment="1" pivotButton="0" quotePrefix="0" xfId="0">
      <alignment vertical="top" wrapText="1"/>
    </xf>
    <xf numFmtId="16" fontId="2" fillId="2" borderId="2" applyAlignment="1" pivotButton="0" quotePrefix="0" xfId="0">
      <alignment vertical="top" wrapText="1"/>
    </xf>
  </cellXfs>
  <cellStyles count="5">
    <cellStyle name="Normal" xfId="0" builtinId="0"/>
    <cellStyle name="Hyperlink" xfId="1" builtinId="8"/>
    <cellStyle name="Normal_Functional Test Case v1.0" xfId="2"/>
    <cellStyle name="Normal_Sheet1" xfId="3"/>
    <cellStyle name="標準_結合試験(AllOvertheWorld)" xf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11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G8" authorId="0" shapeId="0">
      <text>
        <t xml:space="preserve">Pass
Fail
Untested
N/A
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G8" authorId="0" shapeId="0">
      <text>
        <t xml:space="preserve">Pass
Fail
Untested
N/A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57150</colOff>
      <row>1</row>
      <rowOff>128588</rowOff>
    </from>
    <to>
      <col>1</col>
      <colOff>1233488</colOff>
      <row>1</row>
      <rowOff>852488</rowOff>
    </to>
    <pic>
      <nvPicPr>
        <cNvPr id="1040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9550" y="290513"/>
          <a:ext cx="1176338" cy="723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8"/>
  <sheetViews>
    <sheetView workbookViewId="0">
      <selection activeCell="F9" sqref="F9"/>
    </sheetView>
  </sheetViews>
  <sheetFormatPr baseColWidth="8" defaultColWidth="9" defaultRowHeight="12.75"/>
  <cols>
    <col width="2.1328125" customWidth="1" style="1" min="1" max="1"/>
    <col width="19.6640625" customWidth="1" style="2" min="2" max="2"/>
    <col width="9.1328125" customWidth="1" style="1" min="3" max="3"/>
    <col width="14.46484375" customWidth="1" style="1" min="4" max="4"/>
    <col width="8" customWidth="1" style="1" min="5" max="5"/>
    <col width="31.1328125" customWidth="1" style="1" min="6" max="6"/>
    <col width="31" customWidth="1" style="1" min="7" max="7"/>
    <col width="9" customWidth="1" style="1" min="8" max="16384"/>
  </cols>
  <sheetData>
    <row r="2" ht="75.75" customFormat="1" customHeight="1" s="5">
      <c r="A2" s="3" t="n"/>
      <c r="B2" s="4" t="n"/>
      <c r="C2" s="124" t="inlineStr">
        <is>
          <t>TEST CASE</t>
        </is>
      </c>
      <c r="D2" s="142" t="n"/>
      <c r="E2" s="142" t="n"/>
      <c r="F2" s="142" t="n"/>
      <c r="G2" s="143" t="n"/>
    </row>
    <row r="3">
      <c r="B3" s="6" t="n"/>
      <c r="C3" s="7" t="n"/>
      <c r="F3" s="8" t="n"/>
    </row>
    <row r="4" ht="14.25" customHeight="1">
      <c r="B4" s="136" t="inlineStr">
        <is>
          <t>Project Name</t>
        </is>
      </c>
      <c r="C4" s="125" t="inlineStr">
        <is>
          <t>&lt;Project Name&gt;</t>
        </is>
      </c>
      <c r="D4" s="142" t="n"/>
      <c r="E4" s="143" t="n"/>
      <c r="F4" s="136" t="inlineStr">
        <is>
          <t>Creator</t>
        </is>
      </c>
      <c r="G4" s="10" t="n"/>
    </row>
    <row r="5" ht="14.25" customHeight="1">
      <c r="B5" s="136" t="inlineStr">
        <is>
          <t>Project Code</t>
        </is>
      </c>
      <c r="C5" s="125" t="inlineStr">
        <is>
          <t>&lt;Project Code&gt;</t>
        </is>
      </c>
      <c r="D5" s="142" t="n"/>
      <c r="E5" s="143" t="n"/>
      <c r="F5" s="136" t="inlineStr">
        <is>
          <t>Reviewer/Approver</t>
        </is>
      </c>
      <c r="G5" s="10" t="n"/>
    </row>
    <row r="6" ht="15.75" customHeight="1">
      <c r="B6" s="126" t="inlineStr">
        <is>
          <t>Document Code</t>
        </is>
      </c>
      <c r="C6" s="127">
        <f>C5&amp;"_"&amp;"XXX"&amp;"_"&amp;"vx.x"</f>
        <v/>
      </c>
      <c r="D6" s="144" t="n"/>
      <c r="E6" s="145" t="n"/>
      <c r="F6" s="136" t="inlineStr">
        <is>
          <t>Issue Date</t>
        </is>
      </c>
      <c r="G6" s="12" t="n"/>
    </row>
    <row r="7" ht="13.5" customHeight="1">
      <c r="B7" s="146" t="n"/>
      <c r="C7" s="147" t="n"/>
      <c r="D7" s="148" t="n"/>
      <c r="E7" s="149" t="n"/>
      <c r="F7" s="136" t="inlineStr">
        <is>
          <t>Version</t>
        </is>
      </c>
      <c r="G7" s="12" t="n"/>
    </row>
    <row r="8">
      <c r="B8" s="13" t="n"/>
      <c r="C8" s="14" t="n"/>
      <c r="F8" s="6" t="n"/>
      <c r="G8" s="7" t="n"/>
    </row>
    <row r="10">
      <c r="B10" s="15" t="inlineStr">
        <is>
          <t>Record of change</t>
        </is>
      </c>
    </row>
    <row r="11" customFormat="1" s="16">
      <c r="B11" s="17" t="inlineStr">
        <is>
          <t>Effective Date</t>
        </is>
      </c>
      <c r="C11" s="18" t="inlineStr">
        <is>
          <t>Version</t>
        </is>
      </c>
      <c r="D11" s="18" t="inlineStr">
        <is>
          <t>Change Item</t>
        </is>
      </c>
      <c r="E11" s="18" t="inlineStr">
        <is>
          <t>*A,D,M</t>
        </is>
      </c>
      <c r="F11" s="18" t="inlineStr">
        <is>
          <t>Change description</t>
        </is>
      </c>
      <c r="G11" s="19" t="inlineStr">
        <is>
          <t>Reference</t>
        </is>
      </c>
    </row>
    <row r="12" ht="25.5" customFormat="1" customHeight="1" s="20">
      <c r="B12" s="21" t="inlineStr">
        <is>
          <t>&lt;Date when these changes are effective&gt;</t>
        </is>
      </c>
      <c r="C12" s="22" t="n"/>
      <c r="D12" s="23" t="n"/>
      <c r="E12" s="23" t="n"/>
      <c r="F12" s="24" t="n"/>
      <c r="G12" s="25" t="inlineStr">
        <is>
          <t>&lt;List of documents which are refered in this version.&gt;</t>
        </is>
      </c>
    </row>
    <row r="13" ht="21.75" customFormat="1" customHeight="1" s="20">
      <c r="B13" s="26" t="n"/>
      <c r="C13" s="22" t="n"/>
      <c r="D13" s="23" t="n"/>
      <c r="E13" s="23" t="n"/>
      <c r="F13" s="23" t="n"/>
      <c r="G13" s="27" t="n"/>
    </row>
    <row r="14" ht="19.5" customFormat="1" customHeight="1" s="20">
      <c r="B14" s="26" t="n"/>
      <c r="C14" s="22" t="n"/>
      <c r="D14" s="23" t="n"/>
      <c r="E14" s="23" t="n"/>
      <c r="F14" s="23" t="n"/>
      <c r="G14" s="27" t="n"/>
    </row>
    <row r="15" ht="21.75" customFormat="1" customHeight="1" s="20">
      <c r="B15" s="26" t="n"/>
      <c r="C15" s="22" t="n"/>
      <c r="D15" s="23" t="n"/>
      <c r="E15" s="23" t="n"/>
      <c r="F15" s="23" t="n"/>
      <c r="G15" s="27" t="n"/>
    </row>
    <row r="16" ht="19.5" customFormat="1" customHeight="1" s="20">
      <c r="B16" s="26" t="n"/>
      <c r="C16" s="22" t="n"/>
      <c r="D16" s="23" t="n"/>
      <c r="E16" s="23" t="n"/>
      <c r="F16" s="23" t="n"/>
      <c r="G16" s="27" t="n"/>
    </row>
    <row r="17" ht="21.75" customFormat="1" customHeight="1" s="20">
      <c r="B17" s="26" t="n"/>
      <c r="C17" s="22" t="n"/>
      <c r="D17" s="23" t="n"/>
      <c r="E17" s="23" t="n"/>
      <c r="F17" s="23" t="n"/>
      <c r="G17" s="27" t="n"/>
    </row>
    <row r="18" ht="19.5" customFormat="1" customHeight="1" s="20">
      <c r="B18" s="28" t="n"/>
      <c r="C18" s="29" t="n"/>
      <c r="D18" s="30" t="n"/>
      <c r="E18" s="30" t="n"/>
      <c r="F18" s="30" t="n"/>
      <c r="G18" s="31" t="n"/>
    </row>
  </sheetData>
  <mergeCells count="5">
    <mergeCell ref="C6:E7"/>
    <mergeCell ref="C5:E5"/>
    <mergeCell ref="C2:G2"/>
    <mergeCell ref="C4:E4"/>
    <mergeCell ref="B6:B7"/>
  </mergeCells>
  <pageMargins left="0.4701388888888889" right="0.4701388888888889" top="0.5" bottom="0.3513888888888889" header="0.5118055555555556" footer="0.1701388888888889"/>
  <pageSetup orientation="landscape" paperSize="9" firstPageNumber="0" horizontalDpi="300" verticalDpi="300"/>
  <headerFooter alignWithMargins="0">
    <oddHeader/>
    <oddFooter>&amp;L&amp;"Tahoma,Regular"&amp;8 02ae-BM/PM/HDCV/FSOFT v2/0&amp;C&amp;"Tahoma,Regular"&amp;8 Internal use&amp;R&amp;"tahomaTahoma,Regular"&amp;8 &amp;P/&amp;N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D9" sqref="D9"/>
    </sheetView>
  </sheetViews>
  <sheetFormatPr baseColWidth="8" defaultColWidth="9" defaultRowHeight="12.75"/>
  <cols>
    <col width="1.33203125" customWidth="1" style="8" min="1" max="1"/>
    <col width="11.6640625" customWidth="1" style="32" min="2" max="2"/>
    <col width="26.46484375" customWidth="1" style="33" min="3" max="3"/>
    <col width="17.1328125" customWidth="1" style="33" min="4" max="4"/>
    <col width="28.1328125" customWidth="1" style="33" min="5" max="5"/>
    <col width="30.6640625" customWidth="1" style="33" min="6" max="6"/>
    <col width="9" customWidth="1" style="8" min="7" max="16384"/>
  </cols>
  <sheetData>
    <row r="1" ht="24.4" customHeight="1">
      <c r="B1" s="34" t="n"/>
      <c r="D1" s="35" t="inlineStr">
        <is>
          <t>TEST CASE LIST</t>
        </is>
      </c>
      <c r="E1" s="36" t="n"/>
    </row>
    <row r="2" ht="13.5" customHeight="1">
      <c r="B2" s="34" t="n"/>
      <c r="D2" s="37" t="n"/>
      <c r="E2" s="37" t="n"/>
    </row>
    <row r="3">
      <c r="B3" s="130" t="inlineStr">
        <is>
          <t>Project Name</t>
        </is>
      </c>
      <c r="C3" s="142" t="n"/>
      <c r="D3" s="131">
        <f>Cover!C4</f>
        <v/>
      </c>
      <c r="E3" s="142" t="n"/>
      <c r="F3" s="143" t="n"/>
    </row>
    <row r="4">
      <c r="B4" s="130" t="inlineStr">
        <is>
          <t>Project Code</t>
        </is>
      </c>
      <c r="C4" s="142" t="n"/>
      <c r="D4" s="131">
        <f>Cover!C5</f>
        <v/>
      </c>
      <c r="E4" s="142" t="n"/>
      <c r="F4" s="143" t="n"/>
    </row>
    <row r="5" ht="84.75" customFormat="1" customHeight="1" s="38">
      <c r="B5" s="128" t="inlineStr">
        <is>
          <t>Test Environment Setup Description</t>
        </is>
      </c>
      <c r="C5" s="143" t="n"/>
      <c r="D5" s="129" t="inlineStr">
        <is>
          <t>&lt;List enviroment requires in this system
1. Server
2. Database
3. Web Browser
...
&gt;</t>
        </is>
      </c>
      <c r="E5" s="142" t="n"/>
      <c r="F5" s="143" t="n"/>
    </row>
    <row r="6">
      <c r="B6" s="39" t="n"/>
      <c r="C6" s="8" t="n"/>
      <c r="D6" s="8" t="n"/>
      <c r="E6" s="8" t="n"/>
      <c r="F6" s="8" t="n"/>
    </row>
    <row r="7" customFormat="1" s="40">
      <c r="B7" s="41" t="n"/>
      <c r="C7" s="42" t="n"/>
      <c r="D7" s="42" t="n"/>
      <c r="E7" s="42" t="n"/>
      <c r="F7" s="42" t="n"/>
    </row>
    <row r="8" ht="21" customFormat="1" customHeight="1" s="43">
      <c r="B8" s="44" t="inlineStr">
        <is>
          <t>No</t>
        </is>
      </c>
      <c r="C8" s="45" t="inlineStr">
        <is>
          <t>Function Name</t>
        </is>
      </c>
      <c r="D8" s="45" t="inlineStr">
        <is>
          <t>Sheet Name</t>
        </is>
      </c>
      <c r="E8" s="46" t="inlineStr">
        <is>
          <t>Description</t>
        </is>
      </c>
      <c r="F8" s="47" t="inlineStr">
        <is>
          <t>Pre-Condition</t>
        </is>
      </c>
    </row>
    <row r="9">
      <c r="B9" s="48" t="n">
        <v>1</v>
      </c>
      <c r="C9" s="49" t="inlineStr">
        <is>
          <t>Function A</t>
        </is>
      </c>
      <c r="D9" s="50" t="inlineStr">
        <is>
          <t>Module1</t>
        </is>
      </c>
      <c r="E9" s="50" t="n"/>
      <c r="F9" s="51" t="n"/>
    </row>
    <row r="10">
      <c r="B10" s="48" t="n">
        <v>2</v>
      </c>
      <c r="C10" s="49" t="inlineStr">
        <is>
          <t>Function B</t>
        </is>
      </c>
      <c r="D10" s="50" t="inlineStr">
        <is>
          <t>Module1</t>
        </is>
      </c>
      <c r="E10" s="50" t="n"/>
      <c r="F10" s="51" t="n"/>
    </row>
    <row r="11">
      <c r="B11" s="48" t="n">
        <v>3</v>
      </c>
      <c r="C11" s="49" t="inlineStr">
        <is>
          <t>Function C</t>
        </is>
      </c>
      <c r="D11" s="50" t="inlineStr">
        <is>
          <t>Module1</t>
        </is>
      </c>
      <c r="E11" s="50" t="n"/>
      <c r="F11" s="51" t="n"/>
    </row>
    <row r="12">
      <c r="B12" s="48" t="n">
        <v>4</v>
      </c>
      <c r="C12" s="49" t="inlineStr">
        <is>
          <t>Function D</t>
        </is>
      </c>
      <c r="D12" s="50" t="inlineStr">
        <is>
          <t>Module2</t>
        </is>
      </c>
      <c r="E12" s="50" t="n"/>
      <c r="F12" s="51" t="n"/>
    </row>
    <row r="13">
      <c r="B13" s="48" t="n">
        <v>5</v>
      </c>
      <c r="C13" s="49" t="inlineStr">
        <is>
          <t>Function E</t>
        </is>
      </c>
      <c r="D13" s="50" t="inlineStr">
        <is>
          <t>Module2</t>
        </is>
      </c>
      <c r="E13" s="50" t="n"/>
      <c r="F13" s="51" t="n"/>
    </row>
    <row r="14">
      <c r="B14" s="48" t="n"/>
      <c r="C14" s="49" t="n"/>
      <c r="D14" s="52" t="n"/>
      <c r="E14" s="52" t="n"/>
      <c r="F14" s="51" t="n"/>
    </row>
    <row r="15">
      <c r="B15" s="48" t="n"/>
      <c r="C15" s="49" t="n"/>
      <c r="D15" s="52" t="n"/>
      <c r="E15" s="52" t="n"/>
      <c r="F15" s="51" t="n"/>
    </row>
    <row r="16">
      <c r="B16" s="48" t="n"/>
      <c r="C16" s="49" t="n"/>
      <c r="D16" s="52" t="n"/>
      <c r="E16" s="52" t="n"/>
      <c r="F16" s="51" t="n"/>
    </row>
    <row r="17">
      <c r="B17" s="48" t="n"/>
      <c r="C17" s="49" t="n"/>
      <c r="D17" s="52" t="n"/>
      <c r="E17" s="52" t="n"/>
      <c r="F17" s="51" t="n"/>
    </row>
    <row r="18">
      <c r="B18" s="48" t="n"/>
      <c r="C18" s="49" t="n"/>
      <c r="D18" s="52" t="n"/>
      <c r="E18" s="52" t="n"/>
      <c r="F18" s="51" t="n"/>
    </row>
    <row r="19">
      <c r="B19" s="48" t="n"/>
      <c r="C19" s="49" t="n"/>
      <c r="D19" s="52" t="n"/>
      <c r="E19" s="52" t="n"/>
      <c r="F19" s="51" t="n"/>
    </row>
    <row r="20">
      <c r="B20" s="48" t="n"/>
      <c r="C20" s="49" t="n"/>
      <c r="D20" s="52" t="n"/>
      <c r="E20" s="52" t="n"/>
      <c r="F20" s="51" t="n"/>
    </row>
    <row r="21">
      <c r="B21" s="53" t="n"/>
      <c r="C21" s="54" t="n"/>
      <c r="D21" s="55" t="n"/>
      <c r="E21" s="55" t="n"/>
      <c r="F21" s="56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Module1!B10" display="Module1"/>
    <hyperlink ref="D10" location="Module1!B14" display="Module1"/>
    <hyperlink ref="D11" location="Module1!B17" display="Module1"/>
    <hyperlink ref="D12" location="Module2!B10" display="Module2"/>
    <hyperlink ref="D13" location="Module2!B14" display="Module2"/>
  </hyperlinks>
  <pageMargins left="0.7479166666666667" right="0.7479166666666667" top="0.9840277777777778" bottom="1.150694444444444" header="0.5118055555555556" footer="0.9840277777777778"/>
  <pageSetup orientation="landscape" paperSize="9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topLeftCell="B1" workbookViewId="0">
      <pane ySplit="8" topLeftCell="A9" activePane="bottomLeft" state="frozen"/>
      <selection pane="bottomLeft" activeCell="C16" sqref="C16"/>
    </sheetView>
  </sheetViews>
  <sheetFormatPr baseColWidth="8" defaultColWidth="9" defaultRowHeight="12.75"/>
  <cols>
    <col width="11.6640625" customWidth="1" style="8" min="1" max="1"/>
    <col width="19.1328125" customWidth="1" style="8" min="2" max="2"/>
    <col width="25.6640625" customWidth="1" style="8" min="3" max="3"/>
    <col width="28.46484375" customWidth="1" style="8" min="4" max="4"/>
    <col width="16.796875" customWidth="1" style="8" min="5" max="5"/>
    <col width="9" customWidth="1" style="8" min="6" max="6"/>
    <col width="7.1328125" customWidth="1" style="8" min="7" max="7"/>
    <col width="15.1328125" customWidth="1" style="8" min="8" max="8"/>
    <col width="17.6640625" customWidth="1" style="8" min="9" max="9"/>
    <col width="8.1328125" customWidth="1" style="57" min="10" max="10"/>
    <col hidden="1" style="8" min="11" max="11"/>
    <col width="9" customWidth="1" style="8" min="12" max="16384"/>
  </cols>
  <sheetData>
    <row r="1" customFormat="1" s="63">
      <c r="A1" s="58" t="n"/>
      <c r="B1" s="59" t="n"/>
      <c r="C1" s="59" t="n"/>
      <c r="D1" s="59" t="n"/>
      <c r="E1" s="59" t="n"/>
      <c r="F1" s="59" t="n"/>
      <c r="G1" s="60" t="n"/>
      <c r="H1" s="61" t="n"/>
      <c r="I1" s="38" t="n"/>
      <c r="J1" s="62" t="n"/>
    </row>
    <row r="2" ht="15" customFormat="1" customHeight="1" s="63">
      <c r="A2" s="64" t="inlineStr">
        <is>
          <t>Module Code</t>
        </is>
      </c>
      <c r="B2" s="133" t="inlineStr">
        <is>
          <t xml:space="preserve">Module1 </t>
        </is>
      </c>
      <c r="C2" s="142" t="n"/>
      <c r="D2" s="142" t="n"/>
      <c r="E2" s="142" t="n"/>
      <c r="F2" s="142" t="n"/>
      <c r="G2" s="150" t="n"/>
      <c r="H2" s="38" t="n"/>
      <c r="I2" s="38" t="n"/>
      <c r="J2" s="62" t="n"/>
      <c r="K2" s="63" t="inlineStr">
        <is>
          <t>Pass</t>
        </is>
      </c>
    </row>
    <row r="3" ht="25.5" customFormat="1" customHeight="1" s="63">
      <c r="A3" s="65" t="inlineStr">
        <is>
          <t>Test requirement</t>
        </is>
      </c>
      <c r="B3" s="133" t="inlineStr">
        <is>
          <t>&lt;Brief description about requirements which are tested in this sheet&gt;</t>
        </is>
      </c>
      <c r="C3" s="142" t="n"/>
      <c r="D3" s="142" t="n"/>
      <c r="E3" s="142" t="n"/>
      <c r="F3" s="142" t="n"/>
      <c r="G3" s="150" t="n"/>
      <c r="H3" s="38" t="n"/>
      <c r="I3" s="38" t="n"/>
      <c r="J3" s="62" t="n"/>
      <c r="K3" s="63" t="inlineStr">
        <is>
          <t>Fail</t>
        </is>
      </c>
    </row>
    <row r="4" ht="18" customFormat="1" customHeight="1" s="63">
      <c r="A4" s="64" t="inlineStr">
        <is>
          <t>Tester</t>
        </is>
      </c>
      <c r="B4" s="134" t="n"/>
      <c r="C4" s="148" t="n"/>
      <c r="D4" s="148" t="n"/>
      <c r="E4" s="148" t="n"/>
      <c r="F4" s="148" t="n"/>
      <c r="G4" s="151" t="n"/>
      <c r="H4" s="38" t="n"/>
      <c r="I4" s="38" t="n"/>
      <c r="J4" s="62" t="n"/>
      <c r="K4" s="66" t="n"/>
    </row>
    <row r="5" ht="19.5" customFormat="1" customHeight="1" s="63">
      <c r="A5" s="67" t="inlineStr">
        <is>
          <t>Pass</t>
        </is>
      </c>
      <c r="B5" s="68" t="inlineStr">
        <is>
          <t>Fail</t>
        </is>
      </c>
      <c r="C5" s="68" t="inlineStr">
        <is>
          <t>Untested</t>
        </is>
      </c>
      <c r="D5" s="69" t="inlineStr">
        <is>
          <t>N/A</t>
        </is>
      </c>
      <c r="E5" s="135" t="inlineStr">
        <is>
          <t>Number of Test cases</t>
        </is>
      </c>
      <c r="F5" s="142" t="n"/>
      <c r="G5" s="150" t="n"/>
      <c r="H5" s="70" t="n"/>
      <c r="I5" s="70" t="n"/>
      <c r="J5" s="71" t="n"/>
      <c r="K5" s="63" t="inlineStr">
        <is>
          <t>Untesed</t>
        </is>
      </c>
    </row>
    <row r="6" ht="15" customFormat="1" customHeight="1" s="63">
      <c r="A6" s="72">
        <f>COUNTIF(G10:G998,"Pass")</f>
        <v/>
      </c>
      <c r="B6" s="73">
        <f>COUNTIF(G10:G998,"Fail")</f>
        <v/>
      </c>
      <c r="C6" s="73">
        <f>E6-D6-B6-A6</f>
        <v/>
      </c>
      <c r="D6" s="74">
        <f>COUNTIF(G$10:G$998,"N/A")</f>
        <v/>
      </c>
      <c r="E6" s="132">
        <f>COUNTA(A10:A998)</f>
        <v/>
      </c>
      <c r="F6" s="152" t="n"/>
      <c r="G6" s="153" t="n"/>
      <c r="H6" s="70" t="n"/>
      <c r="I6" s="70" t="n"/>
      <c r="J6" s="71" t="n"/>
      <c r="K6" s="63" t="inlineStr">
        <is>
          <t>N/A</t>
        </is>
      </c>
    </row>
    <row r="7" ht="15" customFormat="1" customHeight="1" s="63">
      <c r="D7" s="75" t="n"/>
      <c r="E7" s="75" t="n"/>
      <c r="F7" s="75" t="n"/>
      <c r="G7" s="70" t="n"/>
      <c r="H7" s="70" t="n"/>
      <c r="I7" s="70" t="n"/>
      <c r="J7" s="71" t="n"/>
    </row>
    <row r="8" ht="25.5" customFormat="1" customHeight="1" s="63">
      <c r="A8" s="76" t="inlineStr">
        <is>
          <t>ID</t>
        </is>
      </c>
      <c r="B8" s="76" t="inlineStr">
        <is>
          <t>Test Case Description</t>
        </is>
      </c>
      <c r="C8" s="76" t="inlineStr">
        <is>
          <t>Test Case Procedure</t>
        </is>
      </c>
      <c r="D8" s="76" t="inlineStr">
        <is>
          <t>Expected Output</t>
        </is>
      </c>
      <c r="E8" s="77" t="inlineStr">
        <is>
          <t>Inter-test case Dependence</t>
        </is>
      </c>
      <c r="F8" s="77" t="inlineStr">
        <is>
          <t>TestData</t>
        </is>
      </c>
      <c r="G8" s="77" t="inlineStr">
        <is>
          <t>Result</t>
        </is>
      </c>
      <c r="H8" s="77" t="inlineStr">
        <is>
          <t>Test date</t>
        </is>
      </c>
      <c r="I8" s="76" t="inlineStr">
        <is>
          <t>Note</t>
        </is>
      </c>
      <c r="J8" s="78" t="n"/>
    </row>
    <row r="9" ht="15.75" customFormat="1" customHeight="1" s="63">
      <c r="A9" s="79" t="n"/>
      <c r="B9" s="79" t="inlineStr">
        <is>
          <t>Function A</t>
        </is>
      </c>
      <c r="C9" s="80" t="n"/>
      <c r="D9" s="80" t="n"/>
      <c r="E9" s="80" t="n"/>
      <c r="F9" s="80" t="n"/>
      <c r="G9" s="80" t="n"/>
      <c r="H9" s="80" t="n"/>
      <c r="I9" s="81" t="n"/>
      <c r="J9" s="82" t="n"/>
    </row>
    <row r="10" ht="120.75" customFormat="1" customHeight="1" s="88">
      <c r="A10" s="83">
        <f>IF(OR(B10&lt;&gt;"",D10&lt;&gt;""),"["&amp;TEXT($B$2,"##")&amp;"-"&amp;TEXT(ROW()-10,"##")&amp;"]","")</f>
        <v/>
      </c>
      <c r="B10" s="84" t="inlineStr">
        <is>
          <t>&lt;Brief description of this case: what is tested?&gt;
Ex: Test viewing "Company" form.</t>
        </is>
      </c>
      <c r="C10" s="84" t="inlineStr">
        <is>
          <t>&lt;Describe steps to perform this case&gt;
Ex:
1. Login the system with Manager role.
2. Click "Company" tab in the left menu.</t>
        </is>
      </c>
      <c r="D10" s="85" t="inlineStr">
        <is>
          <t>&lt;Describe results which meet customer's requirement&gt;
Ex:
1. The Hompage is displayed
2. The "Company" view form is displayed with the folowing informations:
- Company name
- Company address
- Phone
- Fax</t>
        </is>
      </c>
      <c r="E10" s="85" t="inlineStr">
        <is>
          <t xml:space="preserve">&lt;List all test cases or conditions that must be done before performing this case&gt;
</t>
        </is>
      </c>
      <c r="F10" s="85" t="n"/>
      <c r="G10" s="83" t="n"/>
      <c r="H10" s="83" t="n"/>
      <c r="I10" s="86" t="n"/>
      <c r="J10" s="87" t="n"/>
    </row>
    <row r="11">
      <c r="A11" s="83">
        <f>IF(OR(B11&lt;&gt;"",D11&lt;&gt;""),"["&amp;TEXT($B$2,"##")&amp;"-"&amp;TEXT(ROW()-10,"##")&amp;"]","")</f>
        <v/>
      </c>
      <c r="B11" s="83" t="inlineStr">
        <is>
          <t>&lt;Test case 2&gt;</t>
        </is>
      </c>
      <c r="C11" s="83" t="n"/>
      <c r="D11" s="89" t="n"/>
      <c r="E11" s="89" t="n"/>
      <c r="F11" s="89" t="n"/>
      <c r="G11" s="83" t="n"/>
      <c r="H11" s="83" t="n"/>
      <c r="I11" s="86" t="n"/>
      <c r="J11" s="87" t="n"/>
    </row>
    <row r="12">
      <c r="A12" s="83">
        <f>IF(OR(B12&lt;&gt;"",D12&lt;&gt;""),"["&amp;TEXT($B$2,"##")&amp;"-"&amp;TEXT(ROW()-10,"##")&amp;"]","")</f>
        <v/>
      </c>
      <c r="B12" s="83" t="inlineStr">
        <is>
          <t>&lt;Test case 3&gt;</t>
        </is>
      </c>
      <c r="C12" s="83" t="n"/>
      <c r="D12" s="89" t="n"/>
      <c r="E12" s="89" t="n"/>
      <c r="F12" s="89" t="n"/>
      <c r="G12" s="83" t="n"/>
      <c r="H12" s="83" t="n"/>
      <c r="I12" s="86" t="n"/>
      <c r="J12" s="87" t="n"/>
    </row>
    <row r="13" ht="15.75" customFormat="1" customHeight="1" s="63">
      <c r="A13" s="80" t="n"/>
      <c r="B13" s="79" t="inlineStr">
        <is>
          <t>Function B</t>
        </is>
      </c>
      <c r="C13" s="80" t="n"/>
      <c r="D13" s="80" t="n"/>
      <c r="E13" s="80" t="n"/>
      <c r="F13" s="80" t="n"/>
      <c r="G13" s="80" t="n"/>
      <c r="H13" s="80" t="n"/>
      <c r="I13" s="81" t="n"/>
      <c r="J13" s="82" t="n"/>
    </row>
    <row r="14">
      <c r="A14" s="83">
        <f>IF(OR(B14&lt;&gt;"",D14&lt;&gt;""),"["&amp;TEXT($B$2,"##")&amp;"-"&amp;TEXT(ROW()-11,"##")&amp;"]","")</f>
        <v/>
      </c>
      <c r="B14" s="83" t="inlineStr">
        <is>
          <t>&lt;Test case 4&gt;</t>
        </is>
      </c>
      <c r="C14" s="83" t="n"/>
      <c r="D14" s="83" t="n"/>
      <c r="E14" s="83" t="n"/>
      <c r="F14" s="83" t="n"/>
      <c r="G14" s="83" t="n"/>
      <c r="H14" s="83" t="n"/>
      <c r="I14" s="86" t="n"/>
      <c r="J14" s="87" t="n"/>
    </row>
    <row r="15">
      <c r="A15" s="83">
        <f>IF(OR(B15&lt;&gt;"",D15&lt;&gt;""),"["&amp;TEXT($B$2,"##")&amp;"-"&amp;TEXT(ROW()-11,"##")&amp;"]","")</f>
        <v/>
      </c>
      <c r="B15" s="83" t="inlineStr">
        <is>
          <t>&lt;Test case 5&gt;</t>
        </is>
      </c>
      <c r="C15" s="83" t="n"/>
      <c r="D15" s="83" t="n"/>
      <c r="E15" s="83" t="n"/>
      <c r="F15" s="83" t="n"/>
      <c r="G15" s="83" t="n"/>
      <c r="H15" s="90" t="n"/>
      <c r="I15" s="90" t="n"/>
    </row>
    <row r="16" ht="15.75" customFormat="1" customHeight="1" s="63">
      <c r="A16" s="79" t="n"/>
      <c r="B16" s="79" t="inlineStr">
        <is>
          <t>Function C</t>
        </is>
      </c>
      <c r="C16" s="80" t="n"/>
      <c r="D16" s="80" t="n"/>
      <c r="E16" s="80" t="n"/>
      <c r="F16" s="80" t="n"/>
      <c r="G16" s="80" t="n"/>
      <c r="H16" s="80" t="n"/>
      <c r="I16" s="81" t="n"/>
      <c r="J16" s="82" t="n"/>
    </row>
    <row r="17">
      <c r="A17" s="83">
        <f>IF(OR(B17&lt;&gt;"",D17&lt;&gt;""),"["&amp;TEXT($B$2,"##")&amp;"-"&amp;TEXT(ROW()-12,"##")&amp;"]","")</f>
        <v/>
      </c>
      <c r="B17" s="83" t="inlineStr">
        <is>
          <t>&lt;Test case 6&gt;</t>
        </is>
      </c>
      <c r="C17" s="83" t="n"/>
      <c r="D17" s="83" t="n"/>
      <c r="E17" s="83" t="n"/>
      <c r="F17" s="83" t="n"/>
      <c r="G17" s="83" t="n"/>
      <c r="H17" s="83" t="n"/>
      <c r="I17" s="86" t="n"/>
      <c r="J17" s="87" t="n"/>
    </row>
  </sheetData>
  <autoFilter ref="A8:I16"/>
  <mergeCells count="5">
    <mergeCell ref="B3:G3"/>
    <mergeCell ref="B2:G2"/>
    <mergeCell ref="E5:G5"/>
    <mergeCell ref="B4:G4"/>
    <mergeCell ref="E6:G6"/>
  </mergeCells>
  <dataValidations count="1">
    <dataValidation sqref="G1:G3 G7:G145" showDropDown="0" showInputMessage="0" showErrorMessage="1" allowBlank="1" type="list">
      <formula1>$K$2:$K$6</formula1>
      <formula2>0</formula2>
    </dataValidation>
  </dataValidations>
  <pageMargins left="0.7479166666666667" right="0.25" top="1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C6" sqref="C6:H6"/>
    </sheetView>
  </sheetViews>
  <sheetFormatPr baseColWidth="8" defaultColWidth="9" defaultRowHeight="12.75"/>
  <cols>
    <col width="9" customWidth="1" style="8" min="1" max="1"/>
    <col width="13.46484375" customWidth="1" style="8" min="2" max="2"/>
    <col width="19.33203125" customWidth="1" style="8" min="3" max="3"/>
    <col width="9" customWidth="1" style="8" min="4" max="7"/>
    <col width="33.1328125" customWidth="1" style="8" min="8" max="9"/>
    <col width="9" customWidth="1" style="8" min="10" max="16384"/>
  </cols>
  <sheetData>
    <row r="1" ht="25.5" customHeight="1">
      <c r="B1" s="138" t="inlineStr">
        <is>
          <t>TEST REPORT</t>
        </is>
      </c>
    </row>
    <row r="2" ht="14.25" customHeight="1">
      <c r="A2" s="93" t="n"/>
      <c r="B2" s="93" t="n"/>
      <c r="C2" s="94" t="n"/>
      <c r="D2" s="94" t="n"/>
      <c r="E2" s="94" t="n"/>
      <c r="F2" s="94" t="n"/>
      <c r="G2" s="94" t="n"/>
      <c r="H2" s="95" t="n"/>
    </row>
    <row r="3" ht="12" customHeight="1">
      <c r="B3" s="126" t="inlineStr">
        <is>
          <t>Project Name</t>
        </is>
      </c>
      <c r="C3" s="131">
        <f>Cover!C4</f>
        <v/>
      </c>
      <c r="D3" s="143" t="n"/>
      <c r="E3" s="136" t="inlineStr">
        <is>
          <t>Creator</t>
        </is>
      </c>
      <c r="F3" s="143" t="n"/>
      <c r="G3" s="96" t="n"/>
      <c r="H3" s="97" t="n"/>
    </row>
    <row r="4" ht="12" customHeight="1">
      <c r="B4" s="126" t="inlineStr">
        <is>
          <t>Project Code</t>
        </is>
      </c>
      <c r="C4" s="131">
        <f>Cover!C5</f>
        <v/>
      </c>
      <c r="D4" s="143" t="n"/>
      <c r="E4" s="136" t="inlineStr">
        <is>
          <t>Reviewer/Approver</t>
        </is>
      </c>
      <c r="F4" s="143" t="n"/>
      <c r="G4" s="96" t="n"/>
      <c r="H4" s="97" t="n"/>
    </row>
    <row r="5" ht="12" customHeight="1">
      <c r="B5" s="98" t="inlineStr">
        <is>
          <t>Document Code</t>
        </is>
      </c>
      <c r="C5" s="131">
        <f>C4&amp;"_"&amp;"Test Report"&amp;"_"&amp;"vx.x"</f>
        <v/>
      </c>
      <c r="D5" s="143" t="n"/>
      <c r="E5" s="136" t="inlineStr">
        <is>
          <t>Issue Date</t>
        </is>
      </c>
      <c r="F5" s="143" t="n"/>
      <c r="G5" s="96" t="n"/>
      <c r="H5" s="99" t="inlineStr">
        <is>
          <t>&lt;Date when this test report is created&gt;</t>
        </is>
      </c>
    </row>
    <row r="6" ht="21.75" customHeight="1">
      <c r="A6" s="93" t="n"/>
      <c r="B6" s="98" t="inlineStr">
        <is>
          <t>Notes</t>
        </is>
      </c>
      <c r="C6" s="137" t="inlineStr">
        <is>
          <t>&lt;List modules included in this release&gt; ex: Release 1 includes 2 modules: Module1 and Module2</t>
        </is>
      </c>
      <c r="D6" s="142" t="n"/>
      <c r="E6" s="142" t="n"/>
      <c r="F6" s="142" t="n"/>
      <c r="G6" s="142" t="n"/>
      <c r="H6" s="143" t="n"/>
    </row>
    <row r="7" ht="14.25" customHeight="1">
      <c r="A7" s="93" t="n"/>
      <c r="B7" s="13" t="n"/>
      <c r="C7" s="100" t="n"/>
      <c r="D7" s="94" t="n"/>
      <c r="E7" s="94" t="n"/>
      <c r="F7" s="94" t="n"/>
      <c r="G7" s="94" t="n"/>
      <c r="H7" s="95" t="n"/>
    </row>
    <row r="8">
      <c r="B8" s="13" t="n"/>
      <c r="C8" s="100" t="n"/>
      <c r="D8" s="94" t="n"/>
      <c r="E8" s="94" t="n"/>
      <c r="F8" s="94" t="n"/>
      <c r="G8" s="94" t="n"/>
      <c r="H8" s="95" t="n"/>
    </row>
    <row r="10">
      <c r="A10" s="101" t="n"/>
      <c r="B10" s="102" t="inlineStr">
        <is>
          <t>No</t>
        </is>
      </c>
      <c r="C10" s="103" t="inlineStr">
        <is>
          <t>Module code</t>
        </is>
      </c>
      <c r="D10" s="104" t="inlineStr">
        <is>
          <t>Pass</t>
        </is>
      </c>
      <c r="E10" s="103" t="inlineStr">
        <is>
          <t>Fail</t>
        </is>
      </c>
      <c r="F10" s="103" t="inlineStr">
        <is>
          <t>Untested</t>
        </is>
      </c>
      <c r="G10" s="105" t="inlineStr">
        <is>
          <t>N/A</t>
        </is>
      </c>
      <c r="H10" s="106" t="inlineStr">
        <is>
          <t>Number of  test cases</t>
        </is>
      </c>
    </row>
    <row r="11">
      <c r="A11" s="101" t="n"/>
      <c r="B11" s="107" t="n">
        <v>1</v>
      </c>
      <c r="C11" s="108">
        <f>BC!B2</f>
        <v/>
      </c>
      <c r="D11" s="109">
        <f>BC!A6</f>
        <v/>
      </c>
      <c r="E11" s="109">
        <f>BC!B6</f>
        <v/>
      </c>
      <c r="F11" s="109">
        <f>BC!C6</f>
        <v/>
      </c>
      <c r="G11" s="110">
        <f>BC!D6</f>
        <v/>
      </c>
      <c r="H11" s="111">
        <f>BC!E6</f>
        <v/>
      </c>
    </row>
    <row r="12">
      <c r="A12" s="101" t="n"/>
      <c r="B12" s="107" t="n">
        <v>2</v>
      </c>
      <c r="C12" s="108">
        <f>#REF!</f>
        <v/>
      </c>
      <c r="D12" s="109">
        <f>#REF!</f>
        <v/>
      </c>
      <c r="E12" s="109">
        <f>#REF!</f>
        <v/>
      </c>
      <c r="F12" s="109">
        <f>#REF!</f>
        <v/>
      </c>
      <c r="G12" s="110">
        <f>#REF!</f>
        <v/>
      </c>
      <c r="H12" s="111">
        <f>#REF!</f>
        <v/>
      </c>
    </row>
    <row r="13">
      <c r="A13" s="101" t="n"/>
      <c r="B13" s="107" t="n"/>
      <c r="C13" s="108" t="n"/>
      <c r="D13" s="109" t="n"/>
      <c r="E13" s="109" t="n"/>
      <c r="F13" s="109" t="n"/>
      <c r="G13" s="110" t="n"/>
      <c r="H13" s="111" t="n"/>
    </row>
    <row r="14">
      <c r="A14" s="101" t="n"/>
      <c r="B14" s="112" t="n"/>
      <c r="C14" s="113" t="inlineStr">
        <is>
          <t>Sub total</t>
        </is>
      </c>
      <c r="D14" s="114">
        <f>SUM(D9:D13)</f>
        <v/>
      </c>
      <c r="E14" s="114">
        <f>SUM(E9:E13)</f>
        <v/>
      </c>
      <c r="F14" s="114">
        <f>SUM(F9:F13)</f>
        <v/>
      </c>
      <c r="G14" s="114">
        <f>SUM(G9:G13)</f>
        <v/>
      </c>
      <c r="H14" s="115">
        <f>SUM(H9:H13)</f>
        <v/>
      </c>
    </row>
    <row r="15">
      <c r="B15" s="116" t="n"/>
      <c r="D15" s="117" t="n"/>
      <c r="E15" s="118" t="n"/>
      <c r="F15" s="118" t="n"/>
      <c r="G15" s="118" t="n"/>
      <c r="H15" s="118" t="n"/>
    </row>
    <row r="16">
      <c r="C16" s="119" t="inlineStr">
        <is>
          <t>Test coverage</t>
        </is>
      </c>
      <c r="E16" s="120">
        <f>(D14+E14)*100/(H14-G14)</f>
        <v/>
      </c>
      <c r="F16" s="8" t="inlineStr">
        <is>
          <t>%</t>
        </is>
      </c>
      <c r="H16" s="75" t="n"/>
    </row>
    <row r="17">
      <c r="C17" s="119" t="inlineStr">
        <is>
          <t>Test successful coverage</t>
        </is>
      </c>
      <c r="E17" s="120">
        <f>D14*100/(H14-G14)</f>
        <v/>
      </c>
      <c r="F17" s="8" t="inlineStr">
        <is>
          <t>%</t>
        </is>
      </c>
      <c r="H17" s="75" t="n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.5118055555555556" footer="0.5"/>
  <pageSetup orientation="landscape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zoomScale="85" zoomScaleNormal="85" workbookViewId="0">
      <pane ySplit="8" topLeftCell="A9" activePane="bottomLeft" state="frozen"/>
      <selection pane="bottomLeft" activeCell="A10" sqref="A10"/>
    </sheetView>
  </sheetViews>
  <sheetFormatPr baseColWidth="8" defaultColWidth="9" defaultRowHeight="12.75"/>
  <cols>
    <col width="16.59765625" customWidth="1" style="8" min="1" max="1"/>
    <col width="31.9296875" customWidth="1" style="8" min="2" max="2"/>
    <col width="48.796875" customWidth="1" style="8" min="3" max="3"/>
    <col width="38.265625" customWidth="1" style="8" min="4" max="4"/>
    <col width="42.59765625" customWidth="1" style="8" min="5" max="5"/>
    <col width="30.86328125" customWidth="1" style="8" min="6" max="6"/>
    <col width="10.796875" customWidth="1" style="8" min="7" max="7"/>
    <col width="16.19921875" customWidth="1" style="8" min="8" max="8"/>
    <col width="17.6640625" customWidth="1" style="8" min="9" max="9"/>
    <col width="27.19921875" customWidth="1" style="57" min="10" max="10"/>
    <col hidden="1" width="9" customWidth="1" style="8" min="11" max="11"/>
    <col width="28.3984375" customWidth="1" style="8" min="12" max="12"/>
    <col width="9" customWidth="1" style="8" min="13" max="16384"/>
  </cols>
  <sheetData>
    <row r="1" ht="13.15" customFormat="1" customHeight="1" s="63" thickBot="1">
      <c r="A1" s="58" t="n"/>
      <c r="B1" s="59" t="n"/>
      <c r="C1" s="59" t="n"/>
      <c r="D1" s="59" t="n"/>
      <c r="E1" s="59" t="n"/>
      <c r="F1" s="59" t="n"/>
      <c r="G1" s="60" t="n"/>
      <c r="H1" s="61" t="n"/>
      <c r="I1" s="38" t="n"/>
      <c r="J1" s="62" t="n"/>
    </row>
    <row r="2" ht="15" customFormat="1" customHeight="1" s="63">
      <c r="A2" s="64" t="inlineStr">
        <is>
          <t>Module Code</t>
        </is>
      </c>
      <c r="B2" s="133" t="inlineStr">
        <is>
          <t>Login</t>
        </is>
      </c>
      <c r="C2" s="142" t="n"/>
      <c r="D2" s="142" t="n"/>
      <c r="E2" s="142" t="n"/>
      <c r="F2" s="142" t="n"/>
      <c r="G2" s="150" t="n"/>
      <c r="H2" s="38" t="n"/>
      <c r="I2" s="38" t="n"/>
      <c r="J2" s="62" t="n"/>
      <c r="K2" s="63" t="inlineStr">
        <is>
          <t>Pass</t>
        </is>
      </c>
    </row>
    <row r="3" ht="25.5" customFormat="1" customHeight="1" s="63">
      <c r="A3" s="65" t="inlineStr">
        <is>
          <t>Test requirement</t>
        </is>
      </c>
      <c r="B3" s="133" t="inlineStr">
        <is>
          <t>Verify login module</t>
        </is>
      </c>
      <c r="C3" s="142" t="n"/>
      <c r="D3" s="142" t="n"/>
      <c r="E3" s="142" t="n"/>
      <c r="F3" s="142" t="n"/>
      <c r="G3" s="150" t="n"/>
      <c r="H3" s="38" t="n"/>
      <c r="I3" s="38" t="n"/>
      <c r="J3" s="62" t="n"/>
      <c r="K3" s="63" t="inlineStr">
        <is>
          <t>Fail</t>
        </is>
      </c>
    </row>
    <row r="4" ht="18" customFormat="1" customHeight="1" s="63">
      <c r="A4" s="64" t="inlineStr">
        <is>
          <t>Tester</t>
        </is>
      </c>
      <c r="B4" s="134" t="inlineStr">
        <is>
          <t>hiennm23</t>
        </is>
      </c>
      <c r="C4" s="148" t="n"/>
      <c r="D4" s="148" t="n"/>
      <c r="E4" s="148" t="n"/>
      <c r="F4" s="148" t="n"/>
      <c r="G4" s="151" t="n"/>
      <c r="H4" s="38" t="n"/>
      <c r="I4" s="38" t="n"/>
      <c r="J4" s="62" t="n"/>
      <c r="K4" s="63" t="inlineStr">
        <is>
          <t>Untesed</t>
        </is>
      </c>
    </row>
    <row r="5" ht="19.5" customFormat="1" customHeight="1" s="63">
      <c r="A5" s="67" t="inlineStr">
        <is>
          <t>Pass</t>
        </is>
      </c>
      <c r="B5" s="68" t="inlineStr">
        <is>
          <t>Fail</t>
        </is>
      </c>
      <c r="C5" s="68" t="inlineStr">
        <is>
          <t>Untested</t>
        </is>
      </c>
      <c r="D5" s="69" t="inlineStr">
        <is>
          <t>N/A</t>
        </is>
      </c>
      <c r="E5" s="135" t="inlineStr">
        <is>
          <t>Number of Test cases</t>
        </is>
      </c>
      <c r="F5" s="142" t="n"/>
      <c r="G5" s="150" t="n"/>
      <c r="H5" s="70" t="n"/>
      <c r="I5" s="70" t="n"/>
      <c r="J5" s="71" t="n"/>
      <c r="K5" s="63" t="inlineStr">
        <is>
          <t>N/A</t>
        </is>
      </c>
    </row>
    <row r="6" ht="15" customFormat="1" customHeight="1" s="63" thickBot="1">
      <c r="A6" s="91">
        <f>COUNTIF(G10:G1001,"Pass")</f>
        <v/>
      </c>
      <c r="B6" s="73">
        <f>COUNTIF(G10:G1001,"Fail")</f>
        <v/>
      </c>
      <c r="C6" s="73">
        <f>E6-D6-B6-A6</f>
        <v/>
      </c>
      <c r="D6" s="74">
        <f>COUNTIF(G$10:G$1001,"N/A")</f>
        <v/>
      </c>
      <c r="E6" s="132">
        <f>COUNTA(A10:A1001)</f>
        <v/>
      </c>
      <c r="F6" s="152" t="n"/>
      <c r="G6" s="153" t="n"/>
      <c r="H6" s="70" t="n"/>
      <c r="I6" s="70" t="n"/>
      <c r="J6" s="71" t="n"/>
    </row>
    <row r="7" ht="15" customFormat="1" customHeight="1" s="63">
      <c r="D7" s="75" t="n"/>
      <c r="E7" s="75" t="n"/>
      <c r="F7" s="75" t="n"/>
      <c r="G7" s="75" t="n"/>
      <c r="H7" s="75" t="n"/>
      <c r="I7" s="75" t="n"/>
      <c r="J7" s="71" t="n"/>
    </row>
    <row r="8" ht="25.5" customFormat="1" customHeight="1" s="63">
      <c r="A8" s="76" t="inlineStr">
        <is>
          <t>ID</t>
        </is>
      </c>
      <c r="B8" s="76" t="inlineStr">
        <is>
          <t>Test Case Description</t>
        </is>
      </c>
      <c r="C8" s="76" t="inlineStr">
        <is>
          <t>Test Case Procedure</t>
        </is>
      </c>
      <c r="D8" s="76" t="inlineStr">
        <is>
          <t>Expected Output</t>
        </is>
      </c>
      <c r="E8" s="77" t="inlineStr">
        <is>
          <t>Inter-test case Dependence</t>
        </is>
      </c>
      <c r="F8" s="77" t="inlineStr">
        <is>
          <t>TestData</t>
        </is>
      </c>
      <c r="G8" s="77" t="inlineStr">
        <is>
          <t>Result</t>
        </is>
      </c>
      <c r="H8" s="77" t="inlineStr">
        <is>
          <t>Test date</t>
        </is>
      </c>
      <c r="I8" s="76" t="inlineStr">
        <is>
          <t>Note</t>
        </is>
      </c>
      <c r="J8" s="78" t="inlineStr">
        <is>
          <t>Evidence</t>
        </is>
      </c>
    </row>
    <row r="9" ht="15.4" customFormat="1" customHeight="1" s="63">
      <c r="A9" s="79" t="n"/>
      <c r="B9" s="79" t="inlineStr">
        <is>
          <t>Login</t>
        </is>
      </c>
      <c r="C9" s="80" t="n"/>
      <c r="D9" s="80" t="n"/>
      <c r="E9" s="80" t="n"/>
      <c r="F9" s="80" t="n"/>
      <c r="G9" s="80" t="n"/>
      <c r="H9" s="80" t="n"/>
      <c r="I9" s="81" t="n"/>
      <c r="J9" s="82" t="n"/>
    </row>
    <row r="10" ht="145.15" customFormat="1" customHeight="1" s="88">
      <c r="A10" s="122" t="inlineStr">
        <is>
          <t>[Login-01]</t>
        </is>
      </c>
      <c r="B10" s="83" t="inlineStr">
        <is>
          <t>Testing loading Login page</t>
        </is>
      </c>
      <c r="C10" s="83" t="inlineStr">
        <is>
          <t>1. Access https://shopee.vn/
2. Press [Đăng nhập] button</t>
        </is>
      </c>
      <c r="D10" s="83" t="inlineStr">
        <is>
          <t>1. Login screen display
2. Following informations displayed:
- Textbox Email/Sdt/ten dang nhap
- Mat khau
- button [Dang nhap]
- button [Facebook]
- button [Google]
- hyperlink: Quen mat khau, dang nhap voi SMS, Dang ky
- QR code: Đăng nhập với mã QR</t>
        </is>
      </c>
      <c r="E10" s="83" t="inlineStr">
        <is>
          <t>1. System is online
2. Can connect with database</t>
        </is>
      </c>
      <c r="F10" s="85" t="n"/>
      <c r="G10" s="83" t="inlineStr">
        <is>
          <t>Pass</t>
        </is>
      </c>
      <c r="H10" s="121" t="n">
        <v>45954</v>
      </c>
      <c r="I10" s="92" t="n"/>
      <c r="J10" s="87" t="e">
        <v>#VALUE!</v>
      </c>
    </row>
    <row r="11" ht="113.65" customHeight="1">
      <c r="A11" s="83" t="inlineStr">
        <is>
          <t>[Login-02]</t>
        </is>
      </c>
      <c r="B11" s="83" t="inlineStr">
        <is>
          <t>Verify login successfully</t>
        </is>
      </c>
      <c r="C11" s="83" t="inlineStr">
        <is>
          <t>1. At Login page, enter following information:
- Email: "manhhientqlk47@gmail.com"
- Matkhau: "không tiết lộ được"
2. Press [Dang nhap] button</t>
        </is>
      </c>
      <c r="D11" s="83" t="inlineStr">
        <is>
          <t>1. Shopee landing page is displaye.
2. Following information is displayed:
- Shopee icon
- account name: "hienmanhhd"
- Search box
- Slider
- Product category, product list, flash sale…</t>
        </is>
      </c>
      <c r="E11" s="83" t="inlineStr">
        <is>
          <t>1. [Login-01]
2. Account:
- Email: "manhhientqlk47@gmail.com"
- Matkhau: "không tiết lộ được"
is registered before</t>
        </is>
      </c>
      <c r="F11" s="123" t="inlineStr">
        <is>
          <t>- Email: "manhhientqlk47@gmail.com"
- Matkhau: "không tiết lộ được"</t>
        </is>
      </c>
      <c r="G11" s="83" t="inlineStr">
        <is>
          <t>Pass</t>
        </is>
      </c>
      <c r="H11" s="121" t="n">
        <v>45954</v>
      </c>
      <c r="I11" s="92" t="n"/>
      <c r="J11" s="87" t="e">
        <v>#VALUE!</v>
      </c>
    </row>
    <row r="12" ht="92.25" customHeight="1">
      <c r="A12" s="83" t="inlineStr">
        <is>
          <t>[Login-03]</t>
        </is>
      </c>
      <c r="B12" s="83" t="inlineStr">
        <is>
          <t>Verify login successfully - via Google account</t>
        </is>
      </c>
      <c r="C12" s="83" t="inlineStr">
        <is>
          <t xml:space="preserve">1. At Login page -&gt; click [Google] button
2. At [Lựa chọn tài khoản] select gmail account [manhhientqlk47@gmail.com]
3. At [Select login to Shopee] page, click [Tiếp tục] button
</t>
        </is>
      </c>
      <c r="D12" s="83" t="inlineStr">
        <is>
          <t>1. Shopee landing page is displaye.
2. Following information is displayed:
- Shopee icon
- account name: "hienmanhhd"
- Search box
- Slider
- Product category, product list, flash sale…</t>
        </is>
      </c>
      <c r="E12" s="83" t="inlineStr">
        <is>
          <t>1. [Login-01]
2. Account:
- Email: "manhhientqlk47@gmail.com"
- Matkhau: "không tiết lộ được"
is registered before</t>
        </is>
      </c>
      <c r="F12" s="123" t="inlineStr">
        <is>
          <t>- Email: "manhhientqlk47@gmail.com"
- Matkhau: "không tiết lộ được"</t>
        </is>
      </c>
      <c r="G12" s="83" t="inlineStr">
        <is>
          <t>Pass</t>
        </is>
      </c>
      <c r="H12" s="121" t="n">
        <v>45954</v>
      </c>
      <c r="I12" s="92" t="n"/>
      <c r="J12" s="87" t="e">
        <v>#VALUE!</v>
      </c>
    </row>
    <row r="13" ht="89.25" customHeight="1">
      <c r="A13" s="122" t="inlineStr">
        <is>
          <t>[Login-04]</t>
        </is>
      </c>
      <c r="B13" s="122" t="inlineStr">
        <is>
          <t>Verify login successfully - via Facebook</t>
        </is>
      </c>
      <c r="C13" s="122" t="inlineStr">
        <is>
          <t xml:space="preserve">1.
2. </t>
        </is>
      </c>
      <c r="D13" s="122" t="inlineStr">
        <is>
          <t>1. Shopee landing page is displaye.
2. Following information is displayed:
- Shopee icon
- account name: "hienmanhhd"
- Search box
- Slider
- Product category, product list, flash sale…</t>
        </is>
      </c>
      <c r="E13" s="122" t="n"/>
      <c r="F13" s="140" t="n"/>
      <c r="G13" s="122" t="inlineStr">
        <is>
          <t>N/A</t>
        </is>
      </c>
      <c r="H13" s="121" t="n"/>
      <c r="I13" s="92" t="n"/>
      <c r="J13" s="87" t="n"/>
    </row>
    <row r="14" ht="93.75" customHeight="1">
      <c r="A14" s="83" t="inlineStr">
        <is>
          <t>[Login-05]</t>
        </is>
      </c>
      <c r="B14" s="83" t="inlineStr">
        <is>
          <t>Verify login fail - Invalid username</t>
        </is>
      </c>
      <c r="C14" s="83" t="inlineStr">
        <is>
          <t>1. At Login page, enter following information:
- Email: "manhhientqlkakjdhfouhfieurgfeurgfejbajkdv47@gmail.com"
- Matkhau: "không tiết lộ được"
2. Press [Dang nhap] button</t>
        </is>
      </c>
      <c r="D14" s="89" t="inlineStr">
        <is>
          <t>1. Error message display "Tên tài khoản của bạn hoặc Mật khẩu không đúng, vui lòng thử lại"
2. System not login</t>
        </is>
      </c>
      <c r="E14" s="83" t="inlineStr">
        <is>
          <t>1. [Login-01]
2. Account:
- Email: "manhhientqlkakjdhfouhfieurgfeurgfejbajkdv47@gmail.com"
- Matkhau: "không tiết lộ được"
is not registered before</t>
        </is>
      </c>
      <c r="F14" s="141" t="inlineStr">
        <is>
          <t>- Email: "manhhientqlkakjdhfouhfieurgfeurgfejbajkdv47@gmail.com"
- Matkhau: "không tiết lộ được"</t>
        </is>
      </c>
      <c r="G14" s="83" t="inlineStr">
        <is>
          <t>Pass</t>
        </is>
      </c>
      <c r="H14" s="121" t="n">
        <v>45954</v>
      </c>
      <c r="I14" s="92" t="n"/>
      <c r="J14" s="87" t="e">
        <v>#VALUE!</v>
      </c>
    </row>
    <row r="15" ht="93.75" customHeight="1">
      <c r="A15" s="83" t="inlineStr">
        <is>
          <t>[Login-06]</t>
        </is>
      </c>
      <c r="B15" s="83" t="inlineStr">
        <is>
          <t>Verify login fail - Invalid password</t>
        </is>
      </c>
      <c r="C15" s="83" t="inlineStr">
        <is>
          <t>1. At Login page, enter following information:
- Email: "manhhientqlk47@gmail.com"
- Matkhau: "Sai mật khẩu"
2. Press [Dang nhap] button</t>
        </is>
      </c>
      <c r="D15" s="89" t="inlineStr">
        <is>
          <t>1. Error message display "Tên tài khoản của bạn hoặc Mật khẩu không đúng, vui lòng thử lại"
2. System not login</t>
        </is>
      </c>
      <c r="E15" s="83" t="inlineStr">
        <is>
          <t>1. [Login-01]
2. Account:
- Email: "manhhientqlk47@gmail.com"
- Matkhau: "không tiết lộ được"
is registered before.</t>
        </is>
      </c>
      <c r="F15" s="123" t="inlineStr">
        <is>
          <t>- Email: "manhhientqlk47@gmail.com"
- Matkhau: "không tiết lộ được"</t>
        </is>
      </c>
      <c r="G15" s="83" t="inlineStr">
        <is>
          <t>Pass</t>
        </is>
      </c>
      <c r="H15" s="121" t="n">
        <v>45954</v>
      </c>
      <c r="I15" s="92" t="n"/>
      <c r="J15" s="87" t="e">
        <v>#VALUE!</v>
      </c>
    </row>
    <row r="16" ht="15.75" customFormat="1" customHeight="1" s="63">
      <c r="A16" s="79" t="n"/>
      <c r="B16" s="79" t="inlineStr">
        <is>
          <t>Quên mật khẩu</t>
        </is>
      </c>
      <c r="C16" s="80" t="n"/>
      <c r="D16" s="80" t="n"/>
      <c r="E16" s="80" t="n"/>
      <c r="F16" s="80" t="n"/>
      <c r="G16" s="80" t="n"/>
      <c r="H16" s="80" t="n"/>
      <c r="I16" s="81" t="n"/>
      <c r="J16" s="82" t="n"/>
    </row>
    <row r="17" ht="25.5" customHeight="1">
      <c r="A17" s="83" t="inlineStr">
        <is>
          <t>[ResetPassword-01]</t>
        </is>
      </c>
      <c r="B17" s="83" t="inlineStr">
        <is>
          <t>&lt;Test case 4&gt;</t>
        </is>
      </c>
      <c r="C17" s="83" t="n"/>
      <c r="D17" s="83" t="n"/>
      <c r="E17" s="83" t="n"/>
      <c r="F17" s="83" t="n"/>
      <c r="G17" s="83" t="inlineStr">
        <is>
          <t>N/A</t>
        </is>
      </c>
      <c r="H17" s="83" t="n"/>
      <c r="I17" s="92" t="n"/>
      <c r="J17" s="87" t="n"/>
    </row>
    <row r="18" ht="25.5" customHeight="1">
      <c r="A18" s="83" t="inlineStr">
        <is>
          <t>[ResetPassword-02]</t>
        </is>
      </c>
      <c r="B18" s="83" t="inlineStr">
        <is>
          <t>&lt;Test case 5&gt;</t>
        </is>
      </c>
      <c r="C18" s="83" t="n"/>
      <c r="D18" s="83" t="n"/>
      <c r="E18" s="83" t="n"/>
      <c r="F18" s="83" t="n"/>
      <c r="G18" s="83" t="inlineStr">
        <is>
          <t>N/A</t>
        </is>
      </c>
      <c r="H18" s="90" t="n"/>
      <c r="I18" s="90" t="n"/>
    </row>
    <row r="19" ht="15.75" customFormat="1" customHeight="1" s="63">
      <c r="A19" s="79" t="n"/>
      <c r="B19" s="139" t="inlineStr">
        <is>
          <t>Đăng ký</t>
        </is>
      </c>
      <c r="C19" s="80" t="n"/>
      <c r="D19" s="80" t="n"/>
      <c r="E19" s="80" t="n"/>
      <c r="F19" s="80" t="n"/>
      <c r="G19" s="80" t="n"/>
      <c r="H19" s="80" t="n"/>
      <c r="I19" s="81" t="n"/>
      <c r="J19" s="82" t="n"/>
    </row>
    <row r="20">
      <c r="A20" s="83" t="inlineStr">
        <is>
          <t>[Register-01]</t>
        </is>
      </c>
      <c r="B20" s="83" t="inlineStr">
        <is>
          <t>&lt;Test case 4&gt;</t>
        </is>
      </c>
      <c r="C20" s="83" t="n"/>
      <c r="D20" s="83" t="n"/>
      <c r="E20" s="83" t="n"/>
      <c r="F20" s="83" t="n"/>
      <c r="G20" s="83" t="inlineStr">
        <is>
          <t>N/A</t>
        </is>
      </c>
      <c r="H20" s="83" t="n"/>
      <c r="I20" s="92" t="n"/>
      <c r="J20" s="87" t="n"/>
    </row>
    <row r="21">
      <c r="A21" s="83" t="inlineStr">
        <is>
          <t>[Register-02]</t>
        </is>
      </c>
      <c r="B21" s="83" t="inlineStr">
        <is>
          <t>&lt;Test case 5&gt;</t>
        </is>
      </c>
      <c r="C21" s="83" t="n"/>
      <c r="D21" s="83" t="n"/>
      <c r="E21" s="83" t="n"/>
      <c r="F21" s="83" t="n"/>
      <c r="G21" s="83" t="inlineStr">
        <is>
          <t>N/A</t>
        </is>
      </c>
      <c r="H21" s="90" t="n"/>
      <c r="I21" s="90" t="n"/>
    </row>
    <row r="22">
      <c r="A22" s="83" t="inlineStr">
        <is>
          <t>[Register-03]</t>
        </is>
      </c>
      <c r="B22" s="83" t="inlineStr">
        <is>
          <t>&lt;Test case 5&gt;</t>
        </is>
      </c>
      <c r="C22" s="83" t="n"/>
      <c r="D22" s="83" t="n"/>
      <c r="E22" s="83" t="n"/>
      <c r="F22" s="83" t="n"/>
      <c r="G22" s="83" t="inlineStr">
        <is>
          <t>N/A</t>
        </is>
      </c>
      <c r="H22" s="90" t="n"/>
      <c r="I22" s="90" t="n"/>
    </row>
  </sheetData>
  <autoFilter ref="A8:I18"/>
  <mergeCells count="5">
    <mergeCell ref="B3:G3"/>
    <mergeCell ref="B2:G2"/>
    <mergeCell ref="E5:G5"/>
    <mergeCell ref="B4:G4"/>
    <mergeCell ref="E6:G6"/>
  </mergeCells>
  <dataValidations count="2">
    <dataValidation sqref="G1:G3 G7:G9 G23:G147" showDropDown="0" showInputMessage="0" showErrorMessage="1" allowBlank="1" type="list">
      <formula1>$K$2:$K$6</formula1>
      <formula2>0</formula2>
    </dataValidation>
    <dataValidation sqref="G10:G22" showDropDown="0" showInputMessage="0" showErrorMessage="1" allowBlank="1" type="list">
      <formula1>$K$2:$K$5</formula1>
    </dataValidation>
  </dataValidations>
  <pageMargins left="0.7479166666666667" right="0.25" top="1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 ht="13.15" customHeight="1">
      <c r="A1" s="58" t="n"/>
      <c r="B1" s="59" t="n"/>
      <c r="C1" s="59" t="n"/>
      <c r="D1" s="59" t="n"/>
      <c r="E1" s="59" t="n"/>
      <c r="F1" s="59" t="n"/>
      <c r="G1" s="60" t="n"/>
      <c r="H1" s="61" t="n"/>
      <c r="I1" s="38" t="n"/>
      <c r="J1" s="62" t="n"/>
    </row>
    <row r="2" ht="15" customHeight="1">
      <c r="A2" s="154" t="inlineStr">
        <is>
          <t>Module Code</t>
        </is>
      </c>
      <c r="B2" s="155" t="inlineStr">
        <is>
          <t>Checklist Nhân sự</t>
        </is>
      </c>
      <c r="C2" s="142" t="n"/>
      <c r="D2" s="142" t="n"/>
      <c r="E2" s="142" t="n"/>
      <c r="F2" s="142" t="n"/>
      <c r="G2" s="150" t="n"/>
      <c r="H2" s="38" t="n"/>
      <c r="I2" s="38" t="n"/>
      <c r="J2" s="62" t="n"/>
      <c r="K2" s="63" t="inlineStr">
        <is>
          <t>Pass</t>
        </is>
      </c>
    </row>
    <row r="3" ht="25.5" customHeight="1">
      <c r="A3" s="156" t="inlineStr">
        <is>
          <t>Test requirement</t>
        </is>
      </c>
      <c r="B3" s="155" t="inlineStr">
        <is>
          <t>Verify module Checklist Nhân sự (template, instance, confirm song song, tiến độ v2)</t>
        </is>
      </c>
      <c r="C3" s="142" t="n"/>
      <c r="D3" s="142" t="n"/>
      <c r="E3" s="142" t="n"/>
      <c r="F3" s="142" t="n"/>
      <c r="G3" s="150" t="n"/>
      <c r="H3" s="38" t="n"/>
      <c r="I3" s="38" t="n"/>
      <c r="J3" s="62" t="n"/>
      <c r="K3" s="63" t="inlineStr">
        <is>
          <t>Fail</t>
        </is>
      </c>
    </row>
    <row r="4" ht="18" customHeight="1">
      <c r="A4" s="154" t="inlineStr">
        <is>
          <t>Tester</t>
        </is>
      </c>
      <c r="B4" s="157" t="inlineStr">
        <is>
          <t>hiennm23</t>
        </is>
      </c>
      <c r="C4" s="148" t="n"/>
      <c r="D4" s="148" t="n"/>
      <c r="E4" s="148" t="n"/>
      <c r="F4" s="148" t="n"/>
      <c r="G4" s="151" t="n"/>
      <c r="H4" s="38" t="n"/>
      <c r="I4" s="38" t="n"/>
      <c r="J4" s="62" t="n"/>
      <c r="K4" s="63" t="inlineStr">
        <is>
          <t>Untesed</t>
        </is>
      </c>
    </row>
    <row r="5" ht="19.5" customHeight="1">
      <c r="A5" s="67" t="inlineStr">
        <is>
          <t>Pass</t>
        </is>
      </c>
      <c r="B5" s="68" t="inlineStr">
        <is>
          <t>Fail</t>
        </is>
      </c>
      <c r="C5" s="68" t="inlineStr">
        <is>
          <t>Untested</t>
        </is>
      </c>
      <c r="D5" s="69" t="inlineStr">
        <is>
          <t>N/A</t>
        </is>
      </c>
      <c r="E5" s="135" t="inlineStr">
        <is>
          <t>Number of Test cases</t>
        </is>
      </c>
      <c r="F5" s="142" t="n"/>
      <c r="G5" s="150" t="n"/>
      <c r="H5" s="70" t="n"/>
      <c r="I5" s="70" t="n"/>
      <c r="J5" s="71" t="n"/>
      <c r="K5" s="63" t="inlineStr">
        <is>
          <t>N/A</t>
        </is>
      </c>
    </row>
    <row r="6" ht="15" customHeight="1">
      <c r="A6" s="91" t="n">
        <v>0</v>
      </c>
      <c r="B6" s="73" t="n">
        <v>0</v>
      </c>
      <c r="C6" s="73" t="n">
        <v>60</v>
      </c>
      <c r="D6" s="74" t="n">
        <v>0</v>
      </c>
      <c r="E6" s="132" t="n">
        <v>60</v>
      </c>
      <c r="F6" s="152" t="n"/>
      <c r="G6" s="153" t="n"/>
      <c r="H6" s="70" t="n"/>
      <c r="I6" s="70" t="n"/>
      <c r="J6" s="71" t="n"/>
    </row>
    <row r="7" ht="15" customHeight="1">
      <c r="D7" s="75" t="n"/>
      <c r="E7" s="75" t="n"/>
      <c r="F7" s="75" t="n"/>
      <c r="G7" s="75" t="n"/>
      <c r="H7" s="75" t="n"/>
      <c r="I7" s="75" t="n"/>
      <c r="J7" s="71" t="n"/>
    </row>
    <row r="8" ht="25.5" customHeight="1">
      <c r="A8" s="158" t="inlineStr">
        <is>
          <t>ID</t>
        </is>
      </c>
      <c r="B8" s="158" t="inlineStr">
        <is>
          <t>Test Case Description</t>
        </is>
      </c>
      <c r="C8" s="158" t="inlineStr">
        <is>
          <t>Test Case Procedure</t>
        </is>
      </c>
      <c r="D8" s="158" t="inlineStr">
        <is>
          <t>Expected Output</t>
        </is>
      </c>
      <c r="E8" s="159" t="inlineStr">
        <is>
          <t>Inter-test case Dependence</t>
        </is>
      </c>
      <c r="F8" s="159" t="inlineStr">
        <is>
          <t>TestData</t>
        </is>
      </c>
      <c r="G8" s="159" t="inlineStr">
        <is>
          <t>Result</t>
        </is>
      </c>
      <c r="H8" s="159" t="inlineStr">
        <is>
          <t>Test date</t>
        </is>
      </c>
      <c r="I8" s="158" t="inlineStr">
        <is>
          <t>Note</t>
        </is>
      </c>
      <c r="J8" s="160" t="inlineStr">
        <is>
          <t>Evidence</t>
        </is>
      </c>
    </row>
    <row r="9" ht="15.4" customHeight="1">
      <c r="A9" s="161" t="n"/>
      <c r="B9" s="161" t="inlineStr">
        <is>
          <t>Danh sách checklist — /hrm/checklist</t>
        </is>
      </c>
      <c r="C9" s="162" t="n"/>
      <c r="D9" s="162" t="n"/>
      <c r="E9" s="162" t="n"/>
      <c r="F9" s="162" t="n"/>
      <c r="G9" s="162" t="n"/>
      <c r="H9" s="162" t="n"/>
      <c r="I9" s="163" t="n"/>
      <c r="J9" s="164" t="n"/>
    </row>
    <row r="10" ht="80" customHeight="1">
      <c r="A10" s="165" t="inlineStr">
        <is>
          <t>[CL-List-01]</t>
        </is>
      </c>
      <c r="B10" s="86" t="inlineStr">
        <is>
          <t>ADMIN truy cập màn danh sách checklist</t>
        </is>
      </c>
      <c r="C10" s="86" t="inlineStr">
        <is>
          <t>1. Đăng nhập tài khoản ADMIN
2. Truy cập menu HRM → Checklist (route /hrm/checklist)</t>
        </is>
      </c>
      <c r="D10" s="86" t="inlineStr">
        <is>
          <t>1. Màn danh sách checklist hiển thị
2. ADMIN thấy toàn bộ instance trong hệ thống
3. Có đủ cột: Tên template, Nhân viên (fullName + accountName), StartDate, EndDate, Trạng thái, Tiến độ (done/total), Badge overdue (nếu có)</t>
        </is>
      </c>
      <c r="E10" s="86" t="inlineStr">
        <is>
          <t>1. Tài khoản ADMIN hợp lệ
2. Đã có ít nhất 1 checklist instance</t>
        </is>
      </c>
      <c r="F10" s="85" t="inlineStr"/>
      <c r="G10" s="86" t="inlineStr">
        <is>
          <t>Untested</t>
        </is>
      </c>
      <c r="H10" s="166" t="n"/>
      <c r="I10" s="92" t="n"/>
      <c r="J10" s="87" t="n"/>
    </row>
    <row r="11" ht="80" customHeight="1">
      <c r="A11" s="165" t="inlineStr">
        <is>
          <t>[CL-List-02]</t>
        </is>
      </c>
      <c r="B11" s="86" t="inlineStr">
        <is>
          <t>OFFICER chỉ thấy checklist liên quan mình</t>
        </is>
      </c>
      <c r="C11" s="86" t="inlineStr">
        <is>
          <t>1. Đăng nhập tài khoản OFFICER (có task được giao)
2. Truy cập /hrm/checklist</t>
        </is>
      </c>
      <c r="D11" s="86" t="inlineStr">
        <is>
          <t>1. Danh sách chỉ hiển thị instance có ít nhất 1 task với AssignedOfficerId = OFFICER hiện tại
2. Không hiển thị instance không liên quan</t>
        </is>
      </c>
      <c r="E11" s="86" t="inlineStr">
        <is>
          <t>1. OFFICER được giao task trong instance A
2. Instance B không có task giao cho OFFICER này</t>
        </is>
      </c>
      <c r="F11" s="85" t="inlineStr">
        <is>
          <t>OFFICER: user có task assigned</t>
        </is>
      </c>
      <c r="G11" s="86" t="inlineStr">
        <is>
          <t>Untested</t>
        </is>
      </c>
      <c r="H11" s="166" t="n"/>
      <c r="I11" s="92" t="n"/>
      <c r="J11" s="87" t="n"/>
    </row>
    <row r="12" ht="80" customHeight="1">
      <c r="A12" s="165" t="inlineStr">
        <is>
          <t>[CL-List-03]</t>
        </is>
      </c>
      <c r="B12" s="86" t="inlineStr">
        <is>
          <t>EMPLOYEE chỉ thấy checklist của bản thân</t>
        </is>
      </c>
      <c r="C12" s="86" t="inlineStr">
        <is>
          <t>1. Đăng nhập tài khoản EMPLOYEE
2. Truy cập /hrm/checklist</t>
        </is>
      </c>
      <c r="D12" s="86" t="inlineStr">
        <is>
          <t>1. Danh sách chỉ hiển thị instance có EmployeeId = user hiện tại
2. Không hiển thị checklist của nhân viên khác</t>
        </is>
      </c>
      <c r="E12" s="86" t="inlineStr">
        <is>
          <t>1. EMPLOYEE có instance riêng
2. Có instance của nhân viên khác trong DB</t>
        </is>
      </c>
      <c r="F12" s="85" t="inlineStr"/>
      <c r="G12" s="86" t="inlineStr">
        <is>
          <t>Untested</t>
        </is>
      </c>
      <c r="H12" s="166" t="n"/>
      <c r="I12" s="92" t="n"/>
      <c r="J12" s="87" t="n"/>
    </row>
    <row r="13" ht="80" customHeight="1">
      <c r="A13" s="165" t="inlineStr">
        <is>
          <t>[CL-List-04]</t>
        </is>
      </c>
      <c r="B13" s="86" t="inlineStr">
        <is>
          <t>Hiển thị tiến độ doneTaskCount/totalTaskCount và % trên danh sách</t>
        </is>
      </c>
      <c r="C13" s="86" t="inlineStr">
        <is>
          <t>1. Truy cập /hrm/checklist với instance có 7/10 task done</t>
        </is>
      </c>
      <c r="D13" s="86" t="inlineStr">
        <is>
          <t>1. Cột tiến độ hiển thị 7/10 (hoặc 70%)
2. Không hiển thị pendingTaskCount (đã bỏ v2)</t>
        </is>
      </c>
      <c r="E13" s="86" t="inlineStr">
        <is>
          <t>[CL-List-01]
Instance: doneTaskCount=7, totalTaskCount=10</t>
        </is>
      </c>
      <c r="F13" s="85" t="inlineStr"/>
      <c r="G13" s="86" t="inlineStr">
        <is>
          <t>Untested</t>
        </is>
      </c>
      <c r="H13" s="166" t="n"/>
      <c r="I13" s="92" t="n"/>
      <c r="J13" s="87" t="n"/>
    </row>
    <row r="14" ht="80" customHeight="1">
      <c r="A14" s="165" t="inlineStr">
        <is>
          <t>[CL-List-05]</t>
        </is>
      </c>
      <c r="B14" s="86" t="inlineStr">
        <is>
          <t>Hiển thị badge overdueTaskCount</t>
        </is>
      </c>
      <c r="C14" s="86" t="inlineStr">
        <is>
          <t>1. Truy cập danh sách với instance có task quá hạn chưa xử lý</t>
        </is>
      </c>
      <c r="D14" s="86" t="inlineStr">
        <is>
          <t>1. Instance hiển thị badge/số overdueTaskCount &gt; 0
2. Instance không overdue không hiển thị badge (hoặc = 0)</t>
        </is>
      </c>
      <c r="E14" s="86" t="inlineStr">
        <is>
          <t>Instance status Overdue hoặc có overdueTaskCount &gt; 0</t>
        </is>
      </c>
      <c r="F14" s="85" t="inlineStr"/>
      <c r="G14" s="86" t="inlineStr">
        <is>
          <t>Untested</t>
        </is>
      </c>
      <c r="H14" s="166" t="n"/>
      <c r="I14" s="92" t="n"/>
      <c r="J14" s="87" t="n"/>
    </row>
    <row r="15" ht="80" customHeight="1">
      <c r="A15" s="165" t="inlineStr">
        <is>
          <t>[CL-List-06]</t>
        </is>
      </c>
      <c r="B15" s="86" t="inlineStr">
        <is>
          <t>Filter danh sách theo Keyword</t>
        </is>
      </c>
      <c r="C15" s="86" t="inlineStr">
        <is>
          <t>1. Tại màn danh sách, nhập Keyword (tên nhân viên / tên template)
2. Áp dụng filter</t>
        </is>
      </c>
      <c r="D15" s="86" t="inlineStr">
        <is>
          <t>1. Danh sách chỉ hiển thị record khớp Keyword
2. API GET /api/checklist-assignment/getCheckList trả kết quả đã filter</t>
        </is>
      </c>
      <c r="E15" s="86" t="inlineStr">
        <is>
          <t>[CL-List-01]</t>
        </is>
      </c>
      <c r="F15" s="85" t="inlineStr"/>
      <c r="G15" s="86" t="inlineStr">
        <is>
          <t>Untested</t>
        </is>
      </c>
      <c r="H15" s="166" t="n"/>
      <c r="I15" s="92" t="n"/>
      <c r="J15" s="87" t="n"/>
    </row>
    <row r="16" ht="80" customHeight="1">
      <c r="A16" s="165" t="inlineStr">
        <is>
          <t>[CL-List-07]</t>
        </is>
      </c>
      <c r="B16" s="86" t="inlineStr">
        <is>
          <t>Filter danh sách theo FromDate / ToDate</t>
        </is>
      </c>
      <c r="C16" s="86" t="inlineStr">
        <is>
          <t>1. Chọn FromDate và ToDate
2. Áp dụng filter</t>
        </is>
      </c>
      <c r="D16" s="86" t="inlineStr">
        <is>
          <t>1. Chỉ hiển thị instance có StartDate/EndDate trong khoảng chọn
2. Record ngoài khoảng không hiển thị</t>
        </is>
      </c>
      <c r="E16" s="86" t="inlineStr">
        <is>
          <t>[CL-List-01]</t>
        </is>
      </c>
      <c r="F16" s="85" t="inlineStr"/>
      <c r="G16" s="86" t="inlineStr">
        <is>
          <t>Untested</t>
        </is>
      </c>
      <c r="H16" s="166" t="n"/>
      <c r="I16" s="92" t="n"/>
      <c r="J16" s="87" t="n"/>
    </row>
    <row r="17" ht="80" customHeight="1">
      <c r="A17" s="165" t="inlineStr">
        <is>
          <t>[CL-List-08]</t>
        </is>
      </c>
      <c r="B17" s="86" t="inlineStr">
        <is>
          <t>Filter danh sách theo Status</t>
        </is>
      </c>
      <c r="C17" s="86" t="inlineStr">
        <is>
          <t>1. Chọn Status (Pending/InProgress/Completed/Overdue/Cancelled)
2. Áp dụng filter</t>
        </is>
      </c>
      <c r="D17" s="86" t="inlineStr">
        <is>
          <t>1. Danh sách chỉ hiển thị instance có status tương ứng</t>
        </is>
      </c>
      <c r="E17" s="86" t="inlineStr">
        <is>
          <t>[CL-List-01]
Có instance với nhiều status khác nhau</t>
        </is>
      </c>
      <c r="F17" s="85" t="inlineStr"/>
      <c r="G17" s="86" t="inlineStr">
        <is>
          <t>Untested</t>
        </is>
      </c>
      <c r="H17" s="166" t="n"/>
      <c r="I17" s="92" t="n"/>
      <c r="J17" s="87" t="n"/>
    </row>
    <row r="18" ht="80" customHeight="1">
      <c r="A18" s="165" t="inlineStr">
        <is>
          <t>[CL-List-09]</t>
        </is>
      </c>
      <c r="B18" s="86" t="inlineStr">
        <is>
          <t>Filter theo EmployeeId</t>
        </is>
      </c>
      <c r="C18" s="86" t="inlineStr">
        <is>
          <t>1. Chọn nhân viên cụ thể trong filter
2. Áp dụng</t>
        </is>
      </c>
      <c r="D18" s="86" t="inlineStr">
        <is>
          <t>1. Chỉ hiển thị checklist của nhân viên được chọn</t>
        </is>
      </c>
      <c r="E18" s="86" t="inlineStr">
        <is>
          <t>[CL-List-01]</t>
        </is>
      </c>
      <c r="F18" s="85" t="inlineStr"/>
      <c r="G18" s="86" t="inlineStr">
        <is>
          <t>Untested</t>
        </is>
      </c>
      <c r="H18" s="166" t="n"/>
      <c r="I18" s="92" t="n"/>
      <c r="J18" s="87" t="n"/>
    </row>
    <row r="19" ht="80" customHeight="1">
      <c r="A19" s="165" t="inlineStr">
        <is>
          <t>[CL-List-10]</t>
        </is>
      </c>
      <c r="B19" s="86" t="inlineStr">
        <is>
          <t>Phân trang danh sách checklist</t>
        </is>
      </c>
      <c r="C19" s="86" t="inlineStr">
        <is>
          <t>1. Truy cập danh sách khi có &gt; số record trên 1 trang
2. Chuyển trang 2, 3...</t>
        </is>
      </c>
      <c r="D19" s="86" t="inlineStr">
        <is>
          <t>1. Trang 1 hiển thị đúng số record theo page size
2. Chuyển trang load đúng batch tiếp theo
3. total count khớp API</t>
        </is>
      </c>
      <c r="E19" s="86" t="inlineStr">
        <is>
          <t>[CL-List-01]
Số instance &gt; page size</t>
        </is>
      </c>
      <c r="F19" s="85" t="inlineStr"/>
      <c r="G19" s="86" t="inlineStr">
        <is>
          <t>Untested</t>
        </is>
      </c>
      <c r="H19" s="166" t="n"/>
      <c r="I19" s="92" t="n"/>
      <c r="J19" s="87" t="n"/>
    </row>
    <row r="20" ht="80" customHeight="1">
      <c r="A20" s="165" t="inlineStr">
        <is>
          <t>[CL-List-11]</t>
        </is>
      </c>
      <c r="B20" s="86" t="inlineStr">
        <is>
          <t>Click checklist → mở màn chi tiết</t>
        </is>
      </c>
      <c r="C20" s="86" t="inlineStr">
        <is>
          <t>1. Tại danh sách, click 1 dòng checklist</t>
        </is>
      </c>
      <c r="D20" s="86" t="inlineStr">
        <is>
          <t>1. Navigate tới /hrm/checklist/:instanceId
2. Màn chi tiết load đúng instance</t>
        </is>
      </c>
      <c r="E20" s="86" t="inlineStr">
        <is>
          <t>[CL-List-01]</t>
        </is>
      </c>
      <c r="F20" s="85" t="inlineStr"/>
      <c r="G20" s="86" t="inlineStr">
        <is>
          <t>Untested</t>
        </is>
      </c>
      <c r="H20" s="166" t="n"/>
      <c r="I20" s="92" t="n"/>
      <c r="J20" s="87" t="n"/>
    </row>
    <row r="21" ht="15.4" customHeight="1">
      <c r="A21" s="161" t="n"/>
      <c r="B21" s="161" t="inlineStr">
        <is>
          <t>Chi tiết checklist — /hrm/checklist/:instanceId</t>
        </is>
      </c>
      <c r="C21" s="162" t="n"/>
      <c r="D21" s="162" t="n"/>
      <c r="E21" s="162" t="n"/>
      <c r="F21" s="162" t="n"/>
      <c r="G21" s="162" t="n"/>
      <c r="H21" s="162" t="n"/>
      <c r="I21" s="163" t="n"/>
      <c r="J21" s="164" t="n"/>
    </row>
    <row r="22" ht="80" customHeight="1">
      <c r="A22" s="165" t="inlineStr">
        <is>
          <t>[CL-Detail-01]</t>
        </is>
      </c>
      <c r="B22" s="86" t="inlineStr">
        <is>
          <t>Hiển thị thông tin tổng quan instance</t>
        </is>
      </c>
      <c r="C22" s="86" t="inlineStr">
        <is>
          <t>1. Mở chi tiết 1 checklist instance</t>
        </is>
      </c>
      <c r="D22" s="86" t="inlineStr">
        <is>
          <t>1. Hiển thị: templateName, status, startDate, endDate
2. endDate = MAX(deadline) các task
3. progressPercent hiển thị (vòng tròn hoặc thanh %)</t>
        </is>
      </c>
      <c r="E22" s="86" t="inlineStr">
        <is>
          <t>[CL-List-11]</t>
        </is>
      </c>
      <c r="F22" s="85" t="inlineStr"/>
      <c r="G22" s="86" t="inlineStr">
        <is>
          <t>Untested</t>
        </is>
      </c>
      <c r="H22" s="166" t="n"/>
      <c r="I22" s="92" t="n"/>
      <c r="J22" s="87" t="n"/>
    </row>
    <row r="23" ht="80" customHeight="1">
      <c r="A23" s="165" t="inlineStr">
        <is>
          <t>[CL-Detail-02]</t>
        </is>
      </c>
      <c r="B23" s="86" t="inlineStr">
        <is>
          <t>Hiển thị thông tin nhân viên (fullName, accountName, position, department)</t>
        </is>
      </c>
      <c r="C23" s="86" t="inlineStr">
        <is>
          <t>1. Mở chi tiết checklist</t>
        </is>
      </c>
      <c r="D23" s="86" t="inlineStr">
        <is>
          <t>1. Employee block hiển thị fullName từ user.FullName
2. accountName = AccessControlProfileName ?? Username
3. position và department hiển thị (JOIN bảng chức vụ/phòng ban)
4. Không null như v1</t>
        </is>
      </c>
      <c r="E23" s="86" t="inlineStr">
        <is>
          <t>[CL-Detail-01]
Nhân viên có phòng ban và chức vụ trên hệ thống</t>
        </is>
      </c>
      <c r="F23" s="85" t="inlineStr"/>
      <c r="G23" s="86" t="inlineStr">
        <is>
          <t>Untested</t>
        </is>
      </c>
      <c r="H23" s="166" t="n"/>
      <c r="I23" s="92" t="n"/>
      <c r="J23" s="87" t="n"/>
    </row>
    <row r="24" ht="80" customHeight="1">
      <c r="A24" s="165" t="inlineStr">
        <is>
          <t>[CL-Detail-03]</t>
        </is>
      </c>
      <c r="B24" s="86" t="inlineStr">
        <is>
          <t>Hiển thị sections và tasks theo SortOrder</t>
        </is>
      </c>
      <c r="C24" s="86" t="inlineStr">
        <is>
          <t>1. Mở chi tiết checklist có nhiều section/task</t>
        </is>
      </c>
      <c r="D24" s="86" t="inlineStr">
        <is>
          <t>1. Sections sắp theo sortOrder
2. Tasks trong mỗi section sắp theo sortOrder
3. Mỗi task: description, deadline, durationDays</t>
        </is>
      </c>
      <c r="E24" s="86" t="inlineStr">
        <is>
          <t>[CL-Detail-01]</t>
        </is>
      </c>
      <c r="F24" s="85" t="inlineStr"/>
      <c r="G24" s="86" t="inlineStr">
        <is>
          <t>Untested</t>
        </is>
      </c>
      <c r="H24" s="166" t="n"/>
      <c r="I24" s="92" t="n"/>
      <c r="J24" s="87" t="n"/>
    </row>
    <row r="25" ht="80" customHeight="1">
      <c r="A25" s="165" t="inlineStr">
        <is>
          <t>[CL-Detail-04]</t>
        </is>
      </c>
      <c r="B25" s="86" t="inlineStr">
        <is>
          <t>Hiển thị officer resolved (fullName + accountName) mỗi task</t>
        </is>
      </c>
      <c r="C25" s="86" t="inlineStr">
        <is>
          <t>1. Mở chi tiết, xem task item</t>
        </is>
      </c>
      <c r="D25" s="86" t="inlineStr">
        <is>
          <t>1. Hiển thị officerFullName và officerAccountName (JOIN user)
2. assignedOfficerId khớp task_item</t>
        </is>
      </c>
      <c r="E25" s="86" t="inlineStr">
        <is>
          <t>[CL-Detail-01]</t>
        </is>
      </c>
      <c r="F25" s="85" t="inlineStr"/>
      <c r="G25" s="86" t="inlineStr">
        <is>
          <t>Untested</t>
        </is>
      </c>
      <c r="H25" s="166" t="n"/>
      <c r="I25" s="92" t="n"/>
      <c r="J25" s="87" t="n"/>
    </row>
    <row r="26" ht="80" customHeight="1">
      <c r="A26" s="165" t="inlineStr">
        <is>
          <t>[CL-Detail-05]</t>
        </is>
      </c>
      <c r="B26" s="86" t="inlineStr">
        <is>
          <t>Hiển thị trạng thái OfficerStatus / EmployeeStatus mỗi task</t>
        </is>
      </c>
      <c r="C26" s="86" t="inlineStr">
        <is>
          <t>1. Mở chi tiết với task ở các trạng thái khác nhau (Pending/Confirmed/Late/Undone)</t>
        </is>
      </c>
      <c r="D26" s="86" t="inlineStr">
        <is>
          <t>1. UI hiển thị đúng trạng thái officer và employee độc lập
2. Hiển thị officerNote, employeeNote, lateReason nếu có
3. Hiển thị confirmedAt tương ứng</t>
        </is>
      </c>
      <c r="E26" s="86" t="inlineStr">
        <is>
          <t>[CL-Detail-01]
Task mix nhiều status</t>
        </is>
      </c>
      <c r="F26" s="85" t="inlineStr"/>
      <c r="G26" s="86" t="inlineStr">
        <is>
          <t>Untested</t>
        </is>
      </c>
      <c r="H26" s="166" t="n"/>
      <c r="I26" s="92" t="n"/>
      <c r="J26" s="87" t="n"/>
    </row>
    <row r="27" ht="80" customHeight="1">
      <c r="A27" s="165" t="inlineStr">
        <is>
          <t>[CL-Detail-06]</t>
        </is>
      </c>
      <c r="B27" s="86" t="inlineStr">
        <is>
          <t>Hiển thị canOfficerUndo và officerUndoDeadline</t>
        </is>
      </c>
      <c r="C27" s="86" t="inlineStr">
        <is>
          <t>1. Mở task officer đã confirm &lt; 60 phút, employee chưa confirm
2. Mở task officer confirm &gt; 60 phút hoặc employee đã confirm</t>
        </is>
      </c>
      <c r="D27" s="86" t="inlineStr">
        <is>
          <t>1. Case 1: hiển thị nút Undo + deadline undo
2. Case 2: không hiển thị Undo (canOfficerUndo=false)</t>
        </is>
      </c>
      <c r="E27" s="86" t="inlineStr">
        <is>
          <t>[CL-Detail-01]</t>
        </is>
      </c>
      <c r="F27" s="85" t="inlineStr"/>
      <c r="G27" s="86" t="inlineStr">
        <is>
          <t>Untested</t>
        </is>
      </c>
      <c r="H27" s="166" t="n"/>
      <c r="I27" s="92" t="n"/>
      <c r="J27" s="87" t="n"/>
    </row>
    <row r="28" ht="80" customHeight="1">
      <c r="A28" s="165" t="inlineStr">
        <is>
          <t>[CL-Detail-07]</t>
        </is>
      </c>
      <c r="B28" s="86" t="inlineStr">
        <is>
          <t>Hiển thị nhật ký (logs) read-only</t>
        </is>
      </c>
      <c r="C28" s="86" t="inlineStr">
        <is>
          <t>1. Mở chi tiết checklist đã có log (CreateInstance, Confirm, ChangeOfficer...)</t>
        </is>
      </c>
      <c r="D28" s="86" t="inlineStr">
        <is>
          <t>1. Danh sách log hiển thị createdAt, actorFullName, actorAccountName, action, detail
2. Không cho sửa/xóa log</t>
        </is>
      </c>
      <c r="E28" s="86" t="inlineStr">
        <is>
          <t>[CL-Detail-01]
Instance đã có nhiều log</t>
        </is>
      </c>
      <c r="F28" s="85" t="inlineStr"/>
      <c r="G28" s="86" t="inlineStr">
        <is>
          <t>Untested</t>
        </is>
      </c>
      <c r="H28" s="166" t="n"/>
      <c r="I28" s="92" t="n"/>
      <c r="J28" s="87" t="n"/>
    </row>
    <row r="29" ht="80" customHeight="1">
      <c r="A29" s="165" t="inlineStr">
        <is>
          <t>[CL-Detail-08]</t>
        </is>
      </c>
      <c r="B29" s="86" t="inlineStr">
        <is>
          <t>Phân quyền xem chi tiết — OFFICER/EMPLOYEE không xem instance không liên quan</t>
        </is>
      </c>
      <c r="C29" s="86" t="inlineStr">
        <is>
          <t>1. OFFICER truy cập URL chi tiết instance không có task mình
2. EMPLOYEE truy cập instance của người khác</t>
        </is>
      </c>
      <c r="D29" s="86" t="inlineStr">
        <is>
          <t>1. Không cho xem (403/redirect/empty)
2. Không leak dữ liệu</t>
        </is>
      </c>
      <c r="E29" s="86" t="inlineStr">
        <is>
          <t>[CL-Detail-01]
Có instance không liên quan</t>
        </is>
      </c>
      <c r="F29" s="85" t="inlineStr"/>
      <c r="G29" s="86" t="inlineStr">
        <is>
          <t>Untested</t>
        </is>
      </c>
      <c r="H29" s="166" t="n"/>
      <c r="I29" s="92" t="n"/>
      <c r="J29" s="87" t="n"/>
    </row>
    <row r="30" ht="15.4" customHeight="1">
      <c r="A30" s="161" t="n"/>
      <c r="B30" s="161" t="inlineStr">
        <is>
          <t>Quản lý template — /hrm/checklist/template (ADMIN)</t>
        </is>
      </c>
      <c r="C30" s="162" t="n"/>
      <c r="D30" s="162" t="n"/>
      <c r="E30" s="162" t="n"/>
      <c r="F30" s="162" t="n"/>
      <c r="G30" s="162" t="n"/>
      <c r="H30" s="162" t="n"/>
      <c r="I30" s="163" t="n"/>
      <c r="J30" s="164" t="n"/>
    </row>
    <row r="31" ht="80" customHeight="1">
      <c r="A31" s="165" t="inlineStr">
        <is>
          <t>[CL-Tpl-01]</t>
        </is>
      </c>
      <c r="B31" s="86" t="inlineStr">
        <is>
          <t>ADMIN truy cập màn quản lý template</t>
        </is>
      </c>
      <c r="C31" s="86" t="inlineStr">
        <is>
          <t>1. Đăng nhập ADMIN
2. Truy cập /hrm/checklist/template</t>
        </is>
      </c>
      <c r="D31" s="86" t="inlineStr">
        <is>
          <t>1. Màn danh sách template hiển thị
2. OFFICER/EMPLOYEE không truy cập được (hoặc không thấy menu)</t>
        </is>
      </c>
      <c r="E31" s="86" t="inlineStr">
        <is>
          <t>Tài khoản ADMIN</t>
        </is>
      </c>
      <c r="F31" s="85" t="inlineStr"/>
      <c r="G31" s="86" t="inlineStr">
        <is>
          <t>Untested</t>
        </is>
      </c>
      <c r="H31" s="166" t="n"/>
      <c r="I31" s="92" t="n"/>
      <c r="J31" s="87" t="n"/>
    </row>
    <row r="32" ht="80" customHeight="1">
      <c r="A32" s="165" t="inlineStr">
        <is>
          <t>[CL-Tpl-02]</t>
        </is>
      </c>
      <c r="B32" s="86" t="inlineStr">
        <is>
          <t>Danh sách template — filter và phân trang</t>
        </is>
      </c>
      <c r="C32" s="86" t="inlineStr">
        <is>
          <t>1. Tại màn template, dùng filter và chuyển trang</t>
        </is>
      </c>
      <c r="D32" s="86" t="inlineStr">
        <is>
          <t>1. GET /api/checklist-template/getList trả đúng filter + pagination
2. UI hiển thị Code, Name, IsActive</t>
        </is>
      </c>
      <c r="E32" s="86" t="inlineStr">
        <is>
          <t>[CL-Tpl-01]</t>
        </is>
      </c>
      <c r="F32" s="85" t="inlineStr"/>
      <c r="G32" s="86" t="inlineStr">
        <is>
          <t>Untested</t>
        </is>
      </c>
      <c r="H32" s="166" t="n"/>
      <c r="I32" s="92" t="n"/>
      <c r="J32" s="87" t="n"/>
    </row>
    <row r="33" ht="80" customHeight="1">
      <c r="A33" s="165" t="inlineStr">
        <is>
          <t>[CL-Tpl-03]</t>
        </is>
      </c>
      <c r="B33" s="86" t="inlineStr">
        <is>
          <t>Tạo template mới — section + task + DefaultOfficerId</t>
        </is>
      </c>
      <c r="C33" s="86" t="inlineStr">
        <is>
          <t>1. Click Tạo template
2. Nhập Code (không dấu), Name, Description
3. Thêm section (Name, SortOrder)
4. Thêm task (Description, DurationDays, SortOrder, DefaultOfficerId)
5. Lưu</t>
        </is>
      </c>
      <c r="D33" s="86" t="inlineStr">
        <is>
          <t>1. POST /insert thành công
2. Template lưu đủ section/task
3. DefaultOfficerId lưu per task
4. Code unique, không dấu</t>
        </is>
      </c>
      <c r="E33" s="86" t="inlineStr">
        <is>
          <t>[CL-Tpl-01]
Code VD: BHS_NhanSuMoi_2025</t>
        </is>
      </c>
      <c r="F33" s="85" t="inlineStr"/>
      <c r="G33" s="86" t="inlineStr">
        <is>
          <t>Untested</t>
        </is>
      </c>
      <c r="H33" s="166" t="n"/>
      <c r="I33" s="92" t="n"/>
      <c r="J33" s="87" t="n"/>
    </row>
    <row r="34" ht="80" customHeight="1">
      <c r="A34" s="165" t="inlineStr">
        <is>
          <t>[CL-Tpl-04]</t>
        </is>
      </c>
      <c r="B34" s="86" t="inlineStr">
        <is>
          <t>Validate Code template trùng / có dấu</t>
        </is>
      </c>
      <c r="C34" s="86" t="inlineStr">
        <is>
          <t>1. Tạo template Code đã tồn tại
2. Tạo template Code có dấu/ký tự không hợp lệ</t>
        </is>
      </c>
      <c r="D34" s="86" t="inlineStr">
        <is>
          <t>1. Hiển thị lỗi validate, không tạo
2. DB không duplicate Code</t>
        </is>
      </c>
      <c r="E34" s="86" t="inlineStr">
        <is>
          <t>[CL-Tpl-03]</t>
        </is>
      </c>
      <c r="F34" s="85" t="inlineStr"/>
      <c r="G34" s="86" t="inlineStr">
        <is>
          <t>Untested</t>
        </is>
      </c>
      <c r="H34" s="166" t="n"/>
      <c r="I34" s="92" t="n"/>
      <c r="J34" s="87" t="n"/>
    </row>
    <row r="35" ht="80" customHeight="1">
      <c r="A35" s="165" t="inlineStr">
        <is>
          <t>[CL-Tpl-05]</t>
        </is>
      </c>
      <c r="B35" s="86" t="inlineStr">
        <is>
          <t>Xem chi tiết template</t>
        </is>
      </c>
      <c r="C35" s="86" t="inlineStr">
        <is>
          <t>1. Click 1 template trong danh sách</t>
        </is>
      </c>
      <c r="D35" s="86" t="inlineStr">
        <is>
          <t>1. GET /getDetail trả sections + tasks + DefaultOfficerId
2. UI hiển thị đầy đủ cấu trúc template</t>
        </is>
      </c>
      <c r="E35" s="86" t="inlineStr">
        <is>
          <t>[CL-Tpl-01]</t>
        </is>
      </c>
      <c r="F35" s="85" t="inlineStr"/>
      <c r="G35" s="86" t="inlineStr">
        <is>
          <t>Untested</t>
        </is>
      </c>
      <c r="H35" s="166" t="n"/>
      <c r="I35" s="92" t="n"/>
      <c r="J35" s="87" t="n"/>
    </row>
    <row r="36" ht="80" customHeight="1">
      <c r="A36" s="165" t="inlineStr">
        <is>
          <t>[CL-Tpl-06]</t>
        </is>
      </c>
      <c r="B36" s="86" t="inlineStr">
        <is>
          <t>Sửa template khi KHÔNG có instance active (status 0,1,3)</t>
        </is>
      </c>
      <c r="C36" s="86" t="inlineStr">
        <is>
          <t>1. Chọn template chưa có instance Pending/InProgress/Overdue
2. Sửa Name/task/section → Lưu</t>
        </is>
      </c>
      <c r="D36" s="86" t="inlineStr">
        <is>
          <t>1. POST /update thành công
2. Thay đổi được reflect</t>
        </is>
      </c>
      <c r="E36" s="86" t="inlineStr">
        <is>
          <t>[CL-Tpl-05]
Template không có instance active</t>
        </is>
      </c>
      <c r="F36" s="85" t="inlineStr"/>
      <c r="G36" s="86" t="inlineStr">
        <is>
          <t>Untested</t>
        </is>
      </c>
      <c r="H36" s="166" t="n"/>
      <c r="I36" s="92" t="n"/>
      <c r="J36" s="87" t="n"/>
    </row>
    <row r="37" ht="80" customHeight="1">
      <c r="A37" s="165" t="inlineStr">
        <is>
          <t>[CL-Tpl-07]</t>
        </is>
      </c>
      <c r="B37" s="86" t="inlineStr">
        <is>
          <t>Không cho sửa template khi CÓ instance active</t>
        </is>
      </c>
      <c r="C37" s="86" t="inlineStr">
        <is>
          <t>1. Chọn template đã có instance status 0/1/3
2. Thử sửa và lưu</t>
        </is>
      </c>
      <c r="D37" s="86" t="inlineStr">
        <is>
          <t>1. BE từ chối (BR-08)
2. UI hiển thị thông báo lỗi / disable edit</t>
        </is>
      </c>
      <c r="E37" s="86" t="inlineStr">
        <is>
          <t>[CL-Tpl-05]
Template có instance InProgress</t>
        </is>
      </c>
      <c r="F37" s="85" t="inlineStr"/>
      <c r="G37" s="86" t="inlineStr">
        <is>
          <t>Untested</t>
        </is>
      </c>
      <c r="H37" s="166" t="n"/>
      <c r="I37" s="92" t="n"/>
      <c r="J37" s="87" t="n"/>
    </row>
    <row r="38" ht="80" customHeight="1">
      <c r="A38" s="165" t="inlineStr">
        <is>
          <t>[CL-Tpl-08]</t>
        </is>
      </c>
      <c r="B38" s="86" t="inlineStr">
        <is>
          <t>Bật/tắt template (toggleActive)</t>
        </is>
      </c>
      <c r="C38" s="86" t="inlineStr">
        <is>
          <t>1. Toggle IsActive template từ ON → OFF
2. Toggle OFF → ON</t>
        </is>
      </c>
      <c r="D38" s="86" t="inlineStr">
        <is>
          <t>1. PATCH /toggleActive cập nhật IsActive
2. Template OFF không dùng được khi tạo instance mới (nếu FE enforce)</t>
        </is>
      </c>
      <c r="E38" s="86" t="inlineStr">
        <is>
          <t>[CL-Tpl-01]</t>
        </is>
      </c>
      <c r="F38" s="85" t="inlineStr"/>
      <c r="G38" s="86" t="inlineStr">
        <is>
          <t>Untested</t>
        </is>
      </c>
      <c r="H38" s="166" t="n"/>
      <c r="I38" s="92" t="n"/>
      <c r="J38" s="87" t="n"/>
    </row>
    <row r="39" ht="15.4" customHeight="1">
      <c r="A39" s="161" t="n"/>
      <c r="B39" s="161" t="inlineStr">
        <is>
          <t>Tạo checklist instance (ADMIN)</t>
        </is>
      </c>
      <c r="C39" s="162" t="n"/>
      <c r="D39" s="162" t="n"/>
      <c r="E39" s="162" t="n"/>
      <c r="F39" s="162" t="n"/>
      <c r="G39" s="162" t="n"/>
      <c r="H39" s="162" t="n"/>
      <c r="I39" s="163" t="n"/>
      <c r="J39" s="164" t="n"/>
    </row>
    <row r="40" ht="80" customHeight="1">
      <c r="A40" s="165" t="inlineStr">
        <is>
          <t>[CL-Create-01]</t>
        </is>
      </c>
      <c r="B40" s="86" t="inlineStr">
        <is>
          <t>ADMIN tạo checklist — 1 nhân viên</t>
        </is>
      </c>
      <c r="C40" s="86" t="inlineStr">
        <is>
          <t>1. ADMIN chọn Tạo checklist
2. Chọn Template + 1 Employee + StartDate
3. (Nếu cần) chọn fallback AssignedOfficer
4. Submit</t>
        </is>
      </c>
      <c r="D40" s="86" t="inlineStr">
        <is>
          <t>1. POST /insertBulk thành công
2. Sinh checklist_instance + task_item
3. Deadline mỗi task = StartDate + DurationDays
4. EndDate instance = MAX deadline
5. Status = Pending (0)</t>
        </is>
      </c>
      <c r="E40" s="86" t="inlineStr">
        <is>
          <t>[CL-Tpl-03]
Template active, employee chưa có instance trùng</t>
        </is>
      </c>
      <c r="F40" s="85" t="inlineStr">
        <is>
          <t>templateId, startDate, employeeIds[1]</t>
        </is>
      </c>
      <c r="G40" s="86" t="inlineStr">
        <is>
          <t>Untested</t>
        </is>
      </c>
      <c r="H40" s="166" t="n"/>
      <c r="I40" s="92" t="n"/>
      <c r="J40" s="87" t="n"/>
    </row>
    <row r="41" ht="80" customHeight="1">
      <c r="A41" s="165" t="inlineStr">
        <is>
          <t>[CL-Create-02]</t>
        </is>
      </c>
      <c r="B41" s="86" t="inlineStr">
        <is>
          <t>ADMIN tạo checklist — nhiều nhân viên (bulk)</t>
        </is>
      </c>
      <c r="C41" s="86" t="inlineStr">
        <is>
          <t>1. Chọn cùng template + StartDate + nhiều employeeIds
2. Submit</t>
        </is>
      </c>
      <c r="D41" s="86" t="inlineStr">
        <is>
          <t>1. Tạo N instance (1 per employee)
2. Mỗi instance có đủ task từ template</t>
        </is>
      </c>
      <c r="E41" s="86" t="inlineStr">
        <is>
          <t>[CL-Create-01]
employeeIds: 2+ nhân viên</t>
        </is>
      </c>
      <c r="F41" s="85" t="inlineStr"/>
      <c r="G41" s="86" t="inlineStr">
        <is>
          <t>Untested</t>
        </is>
      </c>
      <c r="H41" s="166" t="n"/>
      <c r="I41" s="92" t="n"/>
      <c r="J41" s="87" t="n"/>
    </row>
    <row r="42" ht="80" customHeight="1">
      <c r="A42" s="165" t="inlineStr">
        <is>
          <t>[CL-Create-03]</t>
        </is>
      </c>
      <c r="B42" s="86" t="inlineStr">
        <is>
          <t>Gán officer per-task từ DefaultOfficerId template</t>
        </is>
      </c>
      <c r="C42" s="86" t="inlineStr">
        <is>
          <t>1. Tạo instance từ template task có DefaultOfficerId
2. Kiểm tra task_item.AssignedOfficerId</t>
        </is>
      </c>
      <c r="D42" s="86" t="inlineStr">
        <is>
          <t>1. AssignedOfficerId = template_task.DefaultOfficerId (BR-12)
2. Không cần gán tay từng task</t>
        </is>
      </c>
      <c r="E42" s="86" t="inlineStr">
        <is>
          <t>[CL-Tpl-03]
Task có DefaultOfficerId</t>
        </is>
      </c>
      <c r="F42" s="85" t="inlineStr"/>
      <c r="G42" s="86" t="inlineStr">
        <is>
          <t>Untested</t>
        </is>
      </c>
      <c r="H42" s="166" t="n"/>
      <c r="I42" s="92" t="n"/>
      <c r="J42" s="87" t="n"/>
    </row>
    <row r="43" ht="80" customHeight="1">
      <c r="A43" s="165" t="inlineStr">
        <is>
          <t>[CL-Create-04]</t>
        </is>
      </c>
      <c r="B43" s="86" t="inlineStr">
        <is>
          <t>Fallback assignedOfficerId khi DefaultOfficerId = null</t>
        </is>
      </c>
      <c r="C43" s="86" t="inlineStr">
        <is>
          <t>1. Template có task DefaultOfficerId = null
2. Tạo instance với assignedOfficerId fallback
3. Kiểm tra task null officer</t>
        </is>
      </c>
      <c r="D43" s="86" t="inlineStr">
        <is>
          <t>1. AssignedOfficerId = request.assignedOfficerId cho task null DefaultOfficerId</t>
        </is>
      </c>
      <c r="E43" s="86" t="inlineStr">
        <is>
          <t>[CL-Tpl-03]
Task không có DefaultOfficerId</t>
        </is>
      </c>
      <c r="F43" s="85" t="inlineStr"/>
      <c r="G43" s="86" t="inlineStr">
        <is>
          <t>Untested</t>
        </is>
      </c>
      <c r="H43" s="166" t="n"/>
      <c r="I43" s="92" t="n"/>
      <c r="J43" s="87" t="n"/>
    </row>
    <row r="44" ht="80" customHeight="1">
      <c r="A44" s="165" t="inlineStr">
        <is>
          <t>[CL-Create-05]</t>
        </is>
      </c>
      <c r="B44" s="86" t="inlineStr">
        <is>
          <t>Validate fail — cả DefaultOfficerId và fallback đều null</t>
        </is>
      </c>
      <c r="C44" s="86" t="inlineStr">
        <is>
          <t>1. Template có task không DefaultOfficerId
2. Tạo instance không truyền assignedOfficerId</t>
        </is>
      </c>
      <c r="D44" s="86" t="inlineStr">
        <is>
          <t>1. API validate fail
2. Không tạo instance</t>
        </is>
      </c>
      <c r="E44" s="86" t="inlineStr">
        <is>
          <t>[CL-Tpl-03]</t>
        </is>
      </c>
      <c r="F44" s="85" t="inlineStr"/>
      <c r="G44" s="86" t="inlineStr">
        <is>
          <t>Untested</t>
        </is>
      </c>
      <c r="H44" s="166" t="n"/>
      <c r="I44" s="92" t="n"/>
      <c r="J44" s="87" t="n"/>
    </row>
    <row r="45" ht="80" customHeight="1">
      <c r="A45" s="165" t="inlineStr">
        <is>
          <t>[CL-Create-06]</t>
        </is>
      </c>
      <c r="B45" s="86" t="inlineStr">
        <is>
          <t>Không tạo duplicate instance (BR-06)</t>
        </is>
      </c>
      <c r="C45" s="86" t="inlineStr">
        <is>
          <t>1. Employee đã có instance cùng TemplateId, Status ∈ {0,1,3}
2. Tạo lại cùng template + employee</t>
        </is>
      </c>
      <c r="D45" s="86" t="inlineStr">
        <is>
          <t>1. API từ chối / báo lỗi duplicate
2. Không tạo instance mới</t>
        </is>
      </c>
      <c r="E45" s="86" t="inlineStr">
        <is>
          <t>[CL-Create-01]
Instance active đã tồn tại</t>
        </is>
      </c>
      <c r="F45" s="85" t="inlineStr"/>
      <c r="G45" s="86" t="inlineStr">
        <is>
          <t>Untested</t>
        </is>
      </c>
      <c r="H45" s="166" t="n"/>
      <c r="I45" s="92" t="n"/>
      <c r="J45" s="87" t="n"/>
    </row>
    <row r="46" ht="80" customHeight="1">
      <c r="A46" s="165" t="inlineStr">
        <is>
          <t>[CL-Create-07]</t>
        </is>
      </c>
      <c r="B46" s="86" t="inlineStr">
        <is>
          <t>Notification khi tạo instance — gửi OFFICER được giao</t>
        </is>
      </c>
      <c r="C46" s="86" t="inlineStr">
        <is>
          <t>1. Tạo instance mới
2. Kiểm tra in-app + email (SignalR)</t>
        </is>
      </c>
      <c r="D46" s="86" t="inlineStr">
        <is>
          <t>1. OFFICER được giao nhận: "Bạn được giao checklist [Template] cho [Employee]"</t>
        </is>
      </c>
      <c r="E46" s="86" t="inlineStr">
        <is>
          <t>[CL-Create-01]
OFFICER có account active</t>
        </is>
      </c>
      <c r="F46" s="85" t="inlineStr"/>
      <c r="G46" s="86" t="inlineStr">
        <is>
          <t>Untested</t>
        </is>
      </c>
      <c r="H46" s="166" t="n"/>
      <c r="I46" s="92" t="n"/>
      <c r="J46" s="87" t="n"/>
    </row>
    <row r="47" ht="15.4" customHeight="1">
      <c r="A47" s="161" t="n"/>
      <c r="B47" s="161" t="inlineStr">
        <is>
          <t>Xác nhận task — Officer</t>
        </is>
      </c>
      <c r="C47" s="162" t="n"/>
      <c r="D47" s="162" t="n"/>
      <c r="E47" s="162" t="n"/>
      <c r="F47" s="162" t="n"/>
      <c r="G47" s="162" t="n"/>
      <c r="H47" s="162" t="n"/>
      <c r="I47" s="163" t="n"/>
      <c r="J47" s="164" t="n"/>
    </row>
    <row r="48" ht="80" customHeight="1">
      <c r="A48" s="165" t="inlineStr">
        <is>
          <t>[CL-Officer-01]</t>
        </is>
      </c>
      <c r="B48" s="86" t="inlineStr">
        <is>
          <t>OFFICER confirm đúng hạn (trước Deadline)</t>
        </is>
      </c>
      <c r="C48" s="86" t="inlineStr">
        <is>
          <t>1. Đăng nhập OFFICER
2. Mở task chưa confirm, deadline chưa tới
3. Nhập minh chứng (officerNote) nếu cần
4. Confirm</t>
        </is>
      </c>
      <c r="D48" s="86" t="inlineStr">
        <is>
          <t>1. POST /officerConfirm thành công
2. OfficerStatus = Confirmed (1)
3. OfficerConfirmedAt/By được ghi
4. Log OfficerConfirm
5. Employee vẫn có thể confirm độc lập (BR-01)</t>
        </is>
      </c>
      <c r="E48" s="86" t="inlineStr">
        <is>
          <t>[CL-Create-01]
OFFICER assigned, trước deadline</t>
        </is>
      </c>
      <c r="F48" s="85" t="inlineStr"/>
      <c r="G48" s="86" t="inlineStr">
        <is>
          <t>Untested</t>
        </is>
      </c>
      <c r="H48" s="166" t="n"/>
      <c r="I48" s="92" t="n"/>
      <c r="J48" s="87" t="n"/>
    </row>
    <row r="49" ht="80" customHeight="1">
      <c r="A49" s="165" t="inlineStr">
        <is>
          <t>[CL-Officer-02]</t>
        </is>
      </c>
      <c r="B49" s="86" t="inlineStr">
        <is>
          <t>OFFICER confirm muộn — bắt buộc LateReason</t>
        </is>
      </c>
      <c r="C49" s="86" t="inlineStr">
        <is>
          <t>1. Mở task đã quá Deadline (hoặc confirm sau deadline)
2. Confirm không nhập LateReason
3. Confirm có LateReason</t>
        </is>
      </c>
      <c r="D49" s="86" t="inlineStr">
        <is>
          <t>1. Step 2: validate fail (BR-03)
2. Step 3: OfficerStatus = Late (3), LateReason lưu, log OfficerConfirmLate</t>
        </is>
      </c>
      <c r="E49" s="86" t="inlineStr">
        <is>
          <t>[CL-Officer-01]
Task quá deadline</t>
        </is>
      </c>
      <c r="F49" s="85" t="inlineStr"/>
      <c r="G49" s="86" t="inlineStr">
        <is>
          <t>Untested</t>
        </is>
      </c>
      <c r="H49" s="166" t="n"/>
      <c r="I49" s="92" t="n"/>
      <c r="J49" s="87" t="n"/>
    </row>
    <row r="50" ht="80" customHeight="1">
      <c r="A50" s="165" t="inlineStr">
        <is>
          <t>[CL-Officer-03]</t>
        </is>
      </c>
      <c r="B50" s="86" t="inlineStr">
        <is>
          <t>OFFICER undo trong 60 phút — employee chưa confirm task</t>
        </is>
      </c>
      <c r="C50" s="86" t="inlineStr">
        <is>
          <t>1. Officer đã confirm task
2. Trong 60 phút, EmployeeStatus task đó = 0
3. Click Undo</t>
        </is>
      </c>
      <c r="D50" s="86" t="inlineStr">
        <is>
          <t>1. PATCH /officerUndo thành công
2. OfficerStatus = Undone (2)
3. Log OfficerUndo
4. canOfficerUndo = true trước khi undo</t>
        </is>
      </c>
      <c r="E50" s="86" t="inlineStr">
        <is>
          <t>[CL-Officer-01]
Employee chưa confirm</t>
        </is>
      </c>
      <c r="F50" s="85" t="inlineStr"/>
      <c r="G50" s="86" t="inlineStr">
        <is>
          <t>Untested</t>
        </is>
      </c>
      <c r="H50" s="166" t="n"/>
      <c r="I50" s="92" t="n"/>
      <c r="J50" s="87" t="n"/>
    </row>
    <row r="51" ht="80" customHeight="1">
      <c r="A51" s="165" t="inlineStr">
        <is>
          <t>[CL-Officer-04]</t>
        </is>
      </c>
      <c r="B51" s="86" t="inlineStr">
        <is>
          <t>OFFICER không undo sau 60 phút</t>
        </is>
      </c>
      <c r="C51" s="86" t="inlineStr">
        <is>
          <t>1. Officer confirm &gt; 60 phút trước
2. Employee chưa confirm
3. Thử Undo</t>
        </is>
      </c>
      <c r="D51" s="86" t="inlineStr">
        <is>
          <t>1. Undo bị từ chối
2. canOfficerUndo = false</t>
        </is>
      </c>
      <c r="E51" s="86" t="inlineStr">
        <is>
          <t>[CL-Officer-03]
Chờ &gt; 60 phút hoặc mock time</t>
        </is>
      </c>
      <c r="F51" s="85" t="inlineStr"/>
      <c r="G51" s="86" t="inlineStr">
        <is>
          <t>Untested</t>
        </is>
      </c>
      <c r="H51" s="166" t="n"/>
      <c r="I51" s="92" t="n"/>
      <c r="J51" s="87" t="n"/>
    </row>
    <row r="52" ht="80" customHeight="1">
      <c r="A52" s="165" t="inlineStr">
        <is>
          <t>[CL-Officer-05]</t>
        </is>
      </c>
      <c r="B52" s="86" t="inlineStr">
        <is>
          <t>OFFICER không undo khi employee đã confirm</t>
        </is>
      </c>
      <c r="C52" s="86" t="inlineStr">
        <is>
          <t>1. Officer confirm task
2. Employee confirm cùng task
3. Officer thử Undo</t>
        </is>
      </c>
      <c r="D52" s="86" t="inlineStr">
        <is>
          <t>1. Undo bị từ chối (BR-02)
2. Task vẫn done</t>
        </is>
      </c>
      <c r="E52" s="86" t="inlineStr">
        <is>
          <t>[CL-Officer-01]
Employee confirm sau officer</t>
        </is>
      </c>
      <c r="F52" s="85" t="inlineStr"/>
      <c r="G52" s="86" t="inlineStr">
        <is>
          <t>Untested</t>
        </is>
      </c>
      <c r="H52" s="166" t="n"/>
      <c r="I52" s="92" t="n"/>
      <c r="J52" s="87" t="n"/>
    </row>
    <row r="53" ht="80" customHeight="1">
      <c r="A53" s="165" t="inlineStr">
        <is>
          <t>[CL-Officer-06]</t>
        </is>
      </c>
      <c r="B53" s="86" t="inlineStr">
        <is>
          <t>EMPLOYEE confirm TRƯỚC OFFICER — xác nhận song song (BR-01)</t>
        </is>
      </c>
      <c r="C53" s="86" t="inlineStr">
        <is>
          <t>1. Task mới, officer chưa confirm
2. EMPLOYEE confirm task
3. OFFICER confirm cùng task</t>
        </is>
      </c>
      <c r="D53" s="86" t="inlineStr">
        <is>
          <t>1. Employee confirm thành công không cần officer confirm trước
2. Sau cả 2 confirm → task done</t>
        </is>
      </c>
      <c r="E53" s="86" t="inlineStr">
        <is>
          <t>[CL-Create-01]</t>
        </is>
      </c>
      <c r="F53" s="85" t="inlineStr"/>
      <c r="G53" s="86" t="inlineStr">
        <is>
          <t>Untested</t>
        </is>
      </c>
      <c r="H53" s="166" t="n"/>
      <c r="I53" s="92" t="n"/>
      <c r="J53" s="87" t="n"/>
    </row>
    <row r="54" ht="15.4" customHeight="1">
      <c r="A54" s="161" t="n"/>
      <c r="B54" s="161" t="inlineStr">
        <is>
          <t>Xác nhận task — Employee</t>
        </is>
      </c>
      <c r="C54" s="162" t="n"/>
      <c r="D54" s="162" t="n"/>
      <c r="E54" s="162" t="n"/>
      <c r="F54" s="162" t="n"/>
      <c r="G54" s="162" t="n"/>
      <c r="H54" s="162" t="n"/>
      <c r="I54" s="163" t="n"/>
      <c r="J54" s="164" t="n"/>
    </row>
    <row r="55" ht="80" customHeight="1">
      <c r="A55" s="165" t="inlineStr">
        <is>
          <t>[CL-Employee-01]</t>
        </is>
      </c>
      <c r="B55" s="86" t="inlineStr">
        <is>
          <t>EMPLOYEE confirm đúng hạn</t>
        </is>
      </c>
      <c r="C55" s="86" t="inlineStr">
        <is>
          <t>1. Đăng nhập EMPLOYEE
2. Mở task của instance bản thân, trước deadline
3. Nhập employeeNote, Confirm</t>
        </is>
      </c>
      <c r="D55" s="86" t="inlineStr">
        <is>
          <t>1. POST /employeeConfirm thành công
2. EmployeeStatus = Confirmed (1)
3. Log EmployeeConfirm</t>
        </is>
      </c>
      <c r="E55" s="86" t="inlineStr">
        <is>
          <t>[CL-Create-01]
EMPLOYEE = instance employee</t>
        </is>
      </c>
      <c r="F55" s="85" t="inlineStr"/>
      <c r="G55" s="86" t="inlineStr">
        <is>
          <t>Untested</t>
        </is>
      </c>
      <c r="H55" s="166" t="n"/>
      <c r="I55" s="92" t="n"/>
      <c r="J55" s="87" t="n"/>
    </row>
    <row r="56" ht="80" customHeight="1">
      <c r="A56" s="165" t="inlineStr">
        <is>
          <t>[CL-Employee-02]</t>
        </is>
      </c>
      <c r="B56" s="86" t="inlineStr">
        <is>
          <t>EMPLOYEE confirm muộn — bắt buộc LateReason</t>
        </is>
      </c>
      <c r="C56" s="86" t="inlineStr">
        <is>
          <t>1. Confirm task quá deadline không LateReason
2. Confirm với LateReason</t>
        </is>
      </c>
      <c r="D56" s="86" t="inlineStr">
        <is>
          <t>1. Step 1: fail validate
2. Step 2: EmployeeStatus = Late (3)</t>
        </is>
      </c>
      <c r="E56" s="86" t="inlineStr">
        <is>
          <t>[CL-Employee-01]
Sau deadline</t>
        </is>
      </c>
      <c r="F56" s="85" t="inlineStr"/>
      <c r="G56" s="86" t="inlineStr">
        <is>
          <t>Untested</t>
        </is>
      </c>
      <c r="H56" s="166" t="n"/>
      <c r="I56" s="92" t="n"/>
      <c r="J56" s="87" t="n"/>
    </row>
    <row r="57" ht="80" customHeight="1">
      <c r="A57" s="165" t="inlineStr">
        <is>
          <t>[CL-Employee-03]</t>
        </is>
      </c>
      <c r="B57" s="86" t="inlineStr">
        <is>
          <t>EMPLOYEE không confirm task instance của người khác</t>
        </is>
      </c>
      <c r="C57" s="86" t="inlineStr">
        <is>
          <t>1. EMPLOYEE thử confirm taskItem không thuộc instance mình</t>
        </is>
      </c>
      <c r="D57" s="86" t="inlineStr">
        <is>
          <t>1. API từ chối (BR-10)
2. Không thay đổi status</t>
        </is>
      </c>
      <c r="E57" s="86" t="inlineStr">
        <is>
          <t>[CL-Employee-01]
TaskItem khác employeeId</t>
        </is>
      </c>
      <c r="F57" s="85" t="inlineStr"/>
      <c r="G57" s="86" t="inlineStr">
        <is>
          <t>Untested</t>
        </is>
      </c>
      <c r="H57" s="166" t="n"/>
      <c r="I57" s="92" t="n"/>
      <c r="J57" s="87" t="n"/>
    </row>
    <row r="58" ht="15.4" customHeight="1">
      <c r="A58" s="161" t="n"/>
      <c r="B58" s="161" t="inlineStr">
        <is>
          <t>Đổi cán bộ phụ trách task</t>
        </is>
      </c>
      <c r="C58" s="162" t="n"/>
      <c r="D58" s="162" t="n"/>
      <c r="E58" s="162" t="n"/>
      <c r="F58" s="162" t="n"/>
      <c r="G58" s="162" t="n"/>
      <c r="H58" s="162" t="n"/>
      <c r="I58" s="163" t="n"/>
      <c r="J58" s="164" t="n"/>
    </row>
    <row r="59" ht="80" customHeight="1">
      <c r="A59" s="165" t="inlineStr">
        <is>
          <t>[CL-ChangeOfficer-01]</t>
        </is>
      </c>
      <c r="B59" s="86" t="inlineStr">
        <is>
          <t>OFFICER đổi cán bộ — task OfficerStatus Pending (0)</t>
        </is>
      </c>
      <c r="C59" s="86" t="inlineStr">
        <is>
          <t>1. OFFICER mở task chưa confirm
2. Chọn đổi cán bộ → chọn officer mới
3. Lưu</t>
        </is>
      </c>
      <c r="D59" s="86" t="inlineStr">
        <is>
          <t>1. PATCH /changeOfficer thành công
2. AssignedOfficerId cập nhật
3. Log ChangeOfficer (OldId→NewId)
4. Notify OFFICER mới</t>
        </is>
      </c>
      <c r="E59" s="86" t="inlineStr">
        <is>
          <t>[CL-Create-01]
OfficerStatus = 0</t>
        </is>
      </c>
      <c r="F59" s="85" t="inlineStr"/>
      <c r="G59" s="86" t="inlineStr">
        <is>
          <t>Untested</t>
        </is>
      </c>
      <c r="H59" s="166" t="n"/>
      <c r="I59" s="92" t="n"/>
      <c r="J59" s="87" t="n"/>
    </row>
    <row r="60" ht="80" customHeight="1">
      <c r="A60" s="165" t="inlineStr">
        <is>
          <t>[CL-ChangeOfficer-02]</t>
        </is>
      </c>
      <c r="B60" s="86" t="inlineStr">
        <is>
          <t>Đổi cán bộ task OfficerStatus Undone (2)</t>
        </is>
      </c>
      <c r="C60" s="86" t="inlineStr">
        <is>
          <t>1. Task officer đã undo (status 2)
2. Đổi cán bộ</t>
        </is>
      </c>
      <c r="D60" s="86" t="inlineStr">
        <is>
          <t>1. Cho phép đổi (BR-04)
2. AssignedOfficerId cập nhật</t>
        </is>
      </c>
      <c r="E60" s="86" t="inlineStr">
        <is>
          <t>[CL-Officer-03]</t>
        </is>
      </c>
      <c r="F60" s="85" t="inlineStr"/>
      <c r="G60" s="86" t="inlineStr">
        <is>
          <t>Untested</t>
        </is>
      </c>
      <c r="H60" s="166" t="n"/>
      <c r="I60" s="92" t="n"/>
      <c r="J60" s="87" t="n"/>
    </row>
    <row r="61" ht="80" customHeight="1">
      <c r="A61" s="165" t="inlineStr">
        <is>
          <t>[CL-ChangeOfficer-03]</t>
        </is>
      </c>
      <c r="B61" s="86" t="inlineStr">
        <is>
          <t>Không đổi cán bộ task đã Confirmed/Late (1,3)</t>
        </is>
      </c>
      <c r="C61" s="86" t="inlineStr">
        <is>
          <t>1. Task OfficerStatus = 1 hoặc 3
2. Thử đổi cán bộ</t>
        </is>
      </c>
      <c r="D61" s="86" t="inlineStr">
        <is>
          <t>1. API từ chối (BR-04)
2. AssignedOfficerId không đổi</t>
        </is>
      </c>
      <c r="E61" s="86" t="inlineStr">
        <is>
          <t>[CL-Officer-01]</t>
        </is>
      </c>
      <c r="F61" s="85" t="inlineStr"/>
      <c r="G61" s="86" t="inlineStr">
        <is>
          <t>Untested</t>
        </is>
      </c>
      <c r="H61" s="166" t="n"/>
      <c r="I61" s="92" t="n"/>
      <c r="J61" s="87" t="n"/>
    </row>
    <row r="62" ht="80" customHeight="1">
      <c r="A62" s="165" t="inlineStr">
        <is>
          <t>[CL-ChangeOfficer-04]</t>
        </is>
      </c>
      <c r="B62" s="86" t="inlineStr">
        <is>
          <t>ADMIN đổi cán bộ task chưa confirm</t>
        </is>
      </c>
      <c r="C62" s="86" t="inlineStr">
        <is>
          <t>1. ADMIN đổi AssignedOfficerId task status 0/2</t>
        </is>
      </c>
      <c r="D62" s="86" t="inlineStr">
        <is>
          <t>1. Thành công như OFFICER flow</t>
        </is>
      </c>
      <c r="E62" s="86" t="inlineStr">
        <is>
          <t>[CL-ChangeOfficer-01]
Tài khoản ADMIN</t>
        </is>
      </c>
      <c r="F62" s="85" t="inlineStr"/>
      <c r="G62" s="86" t="inlineStr">
        <is>
          <t>Untested</t>
        </is>
      </c>
      <c r="H62" s="166" t="n"/>
      <c r="I62" s="92" t="n"/>
      <c r="J62" s="87" t="n"/>
    </row>
    <row r="63" ht="15.4" customHeight="1">
      <c r="A63" s="161" t="n"/>
      <c r="B63" s="161" t="inlineStr">
        <is>
          <t>Hủy checklist instance (ADMIN)</t>
        </is>
      </c>
      <c r="C63" s="162" t="n"/>
      <c r="D63" s="162" t="n"/>
      <c r="E63" s="162" t="n"/>
      <c r="F63" s="162" t="n"/>
      <c r="G63" s="162" t="n"/>
      <c r="H63" s="162" t="n"/>
      <c r="I63" s="163" t="n"/>
      <c r="J63" s="164" t="n"/>
    </row>
    <row r="64" ht="80" customHeight="1">
      <c r="A64" s="165" t="inlineStr">
        <is>
          <t>[CL-Cancel-01]</t>
        </is>
      </c>
      <c r="B64" s="86" t="inlineStr">
        <is>
          <t>ADMIN hủy instance — có CancelReason</t>
        </is>
      </c>
      <c r="C64" s="86" t="inlineStr">
        <is>
          <t>1. ADMIN mở instance
2. Chọn Hủy, nhập lý do (nghỉ việc/chuyển bộ phận)
3. Xác nhận</t>
        </is>
      </c>
      <c r="D64" s="86" t="inlineStr">
        <is>
          <t>1. PATCH /cancel thành công
2. Status = Cancelled (4)
3. CancelReason, CancelledBy/At lưu
4. Log CancelInstance</t>
        </is>
      </c>
      <c r="E64" s="86" t="inlineStr">
        <is>
          <t>[CL-Create-01]
ADMIN account</t>
        </is>
      </c>
      <c r="F64" s="85" t="inlineStr"/>
      <c r="G64" s="86" t="inlineStr">
        <is>
          <t>Untested</t>
        </is>
      </c>
      <c r="H64" s="166" t="n"/>
      <c r="I64" s="92" t="n"/>
      <c r="J64" s="87" t="n"/>
    </row>
    <row r="65" ht="80" customHeight="1">
      <c r="A65" s="165" t="inlineStr">
        <is>
          <t>[CL-Cancel-02]</t>
        </is>
      </c>
      <c r="B65" s="86" t="inlineStr">
        <is>
          <t>Hủy instance không có CancelReason</t>
        </is>
      </c>
      <c r="C65" s="86" t="inlineStr">
        <is>
          <t>1. ADMIN hủy không nhập lý do</t>
        </is>
      </c>
      <c r="D65" s="86" t="inlineStr">
        <is>
          <t>1. Validate fail (BR-07)
2. Instance không chuyển Cancelled</t>
        </is>
      </c>
      <c r="E65" s="86" t="inlineStr">
        <is>
          <t>[CL-Cancel-01]</t>
        </is>
      </c>
      <c r="F65" s="85" t="inlineStr"/>
      <c r="G65" s="86" t="inlineStr">
        <is>
          <t>Untested</t>
        </is>
      </c>
      <c r="H65" s="166" t="n"/>
      <c r="I65" s="92" t="n"/>
      <c r="J65" s="87" t="n"/>
    </row>
    <row r="66" ht="80" customHeight="1">
      <c r="A66" s="165" t="inlineStr">
        <is>
          <t>[CL-Cancel-03]</t>
        </is>
      </c>
      <c r="B66" s="86" t="inlineStr">
        <is>
          <t>Notification khi hủy — OFFICER + EMPLOYEE</t>
        </is>
      </c>
      <c r="C66" s="86" t="inlineStr">
        <is>
          <t>1. Hủy instance thành công</t>
        </is>
      </c>
      <c r="D66" s="86" t="inlineStr">
        <is>
          <t>1. OFFICER liên quan + EMPLOYEE nhận: "Checklist [Template]/[Employee] đã hủy. Lý do: [CancelReason]"</t>
        </is>
      </c>
      <c r="E66" s="86" t="inlineStr">
        <is>
          <t>[CL-Cancel-01]</t>
        </is>
      </c>
      <c r="F66" s="85" t="inlineStr"/>
      <c r="G66" s="86" t="inlineStr">
        <is>
          <t>Untested</t>
        </is>
      </c>
      <c r="H66" s="166" t="n"/>
      <c r="I66" s="92" t="n"/>
      <c r="J66" s="87" t="n"/>
    </row>
    <row r="67" ht="80" customHeight="1">
      <c r="A67" s="165" t="inlineStr">
        <is>
          <t>[CL-Cancel-04]</t>
        </is>
      </c>
      <c r="B67" s="86" t="inlineStr">
        <is>
          <t>OFFICER/EMPLOYEE không được hủy instance</t>
        </is>
      </c>
      <c r="C67" s="86" t="inlineStr">
        <is>
          <t>1. OFFICER hoặc EMPLOYEE thử gọi cancel</t>
        </is>
      </c>
      <c r="D67" s="86" t="inlineStr">
        <is>
          <t>1. Từ chối — chỉ ADMIN (BR-07)</t>
        </is>
      </c>
      <c r="E67" s="86" t="inlineStr">
        <is>
          <t>[CL-Create-01]</t>
        </is>
      </c>
      <c r="F67" s="85" t="inlineStr"/>
      <c r="G67" s="86" t="inlineStr">
        <is>
          <t>Untested</t>
        </is>
      </c>
      <c r="H67" s="166" t="n"/>
      <c r="I67" s="92" t="n"/>
      <c r="J67" s="87" t="n"/>
    </row>
    <row r="68" ht="15.4" customHeight="1">
      <c r="A68" s="161" t="n"/>
      <c r="B68" s="161" t="inlineStr">
        <is>
          <t>Tiến độ và trạng thái instance</t>
        </is>
      </c>
      <c r="C68" s="162" t="n"/>
      <c r="D68" s="162" t="n"/>
      <c r="E68" s="162" t="n"/>
      <c r="F68" s="162" t="n"/>
      <c r="G68" s="162" t="n"/>
      <c r="H68" s="162" t="n"/>
      <c r="I68" s="163" t="n"/>
      <c r="J68" s="164" t="n"/>
    </row>
    <row r="69" ht="80" customHeight="1">
      <c r="A69" s="165" t="inlineStr">
        <is>
          <t>[CL-Status-01]</t>
        </is>
      </c>
      <c r="B69" s="86" t="inlineStr">
        <is>
          <t>Instance Pending (0) khi mới tạo — chưa ai confirm</t>
        </is>
      </c>
      <c r="C69" s="86" t="inlineStr">
        <is>
          <t>1. Tạo instance mới
2. Kiểm tra status</t>
        </is>
      </c>
      <c r="D69" s="86" t="inlineStr">
        <is>
          <t>1. Status = Pending (0)
2. progressPercent = 0</t>
        </is>
      </c>
      <c r="E69" s="86" t="inlineStr">
        <is>
          <t>[CL-Create-01]</t>
        </is>
      </c>
      <c r="F69" s="85" t="inlineStr"/>
      <c r="G69" s="86" t="inlineStr">
        <is>
          <t>Untested</t>
        </is>
      </c>
      <c r="H69" s="166" t="n"/>
      <c r="I69" s="92" t="n"/>
      <c r="J69" s="87" t="n"/>
    </row>
    <row r="70" ht="80" customHeight="1">
      <c r="A70" s="165" t="inlineStr">
        <is>
          <t>[CL-Status-02]</t>
        </is>
      </c>
      <c r="B70" s="86" t="inlineStr">
        <is>
          <t>Instance InProgress (1) khi có bất kỳ confirm (officer HOẶC employee)</t>
        </is>
      </c>
      <c r="C70" s="86" t="inlineStr">
        <is>
          <t>1. Tạo instance
2. Chỉ OFFICER confirm 1 task HOẶC chỉ EMPLOYEE confirm 1 task</t>
        </is>
      </c>
      <c r="D70" s="86" t="inlineStr">
        <is>
          <t>1. Status chuyển InProgress (1) — không cần cả 2 (v2)</t>
        </is>
      </c>
      <c r="E70" s="86" t="inlineStr">
        <is>
          <t>[CL-Create-01]</t>
        </is>
      </c>
      <c r="F70" s="85" t="inlineStr"/>
      <c r="G70" s="86" t="inlineStr">
        <is>
          <t>Untested</t>
        </is>
      </c>
      <c r="H70" s="166" t="n"/>
      <c r="I70" s="92" t="n"/>
      <c r="J70" s="87" t="n"/>
    </row>
    <row r="71" ht="80" customHeight="1">
      <c r="A71" s="165" t="inlineStr">
        <is>
          <t>[CL-Status-03]</t>
        </is>
      </c>
      <c r="B71" s="86" t="inlineStr">
        <is>
          <t>Task done khi Officer ∈ {1,3} AND Employee ∈ {1,3}</t>
        </is>
      </c>
      <c r="C71" s="86" t="inlineStr">
        <is>
          <t>1. Confirm cả officer và employee cùng task (on-time hoặc late)</t>
        </is>
      </c>
      <c r="D71" s="86" t="inlineStr">
        <is>
          <t>1. Task được tính done
2. doneTaskCount tăng, progressPercent cập nhật</t>
        </is>
      </c>
      <c r="E71" s="86" t="inlineStr">
        <is>
          <t>[CL-Officer-01]
[CL-Employee-01]</t>
        </is>
      </c>
      <c r="F71" s="85" t="inlineStr"/>
      <c r="G71" s="86" t="inlineStr">
        <is>
          <t>Untested</t>
        </is>
      </c>
      <c r="H71" s="166" t="n"/>
      <c r="I71" s="92" t="n"/>
      <c r="J71" s="87" t="n"/>
    </row>
    <row r="72" ht="80" customHeight="1">
      <c r="A72" s="165" t="inlineStr">
        <is>
          <t>[CL-Status-04]</t>
        </is>
      </c>
      <c r="B72" s="86" t="inlineStr">
        <is>
          <t>Instance Completed (2) khi tất cả task done</t>
        </is>
      </c>
      <c r="C72" s="86" t="inlineStr">
        <is>
          <t>1. Hoàn thành confirm tất cả task</t>
        </is>
      </c>
      <c r="D72" s="86" t="inlineStr">
        <is>
          <t>1. Status = Completed (2)
2. Log InstanceCompleted
3. Notify ADMIN + EMPLOYEE</t>
        </is>
      </c>
      <c r="E72" s="86" t="inlineStr">
        <is>
          <t>[CL-Status-03]
Tất cả task done</t>
        </is>
      </c>
      <c r="F72" s="85" t="inlineStr"/>
      <c r="G72" s="86" t="inlineStr">
        <is>
          <t>Untested</t>
        </is>
      </c>
      <c r="H72" s="166" t="n"/>
      <c r="I72" s="92" t="n"/>
      <c r="J72" s="87" t="n"/>
    </row>
    <row r="73" ht="80" customHeight="1">
      <c r="A73" s="165" t="inlineStr">
        <is>
          <t>[CL-Status-05]</t>
        </is>
      </c>
      <c r="B73" s="86" t="inlineStr">
        <is>
          <t>Instance Overdue (3) — job ChecklistOverdueJob</t>
        </is>
      </c>
      <c r="C73" s="86" t="inlineStr">
        <is>
          <t>1. Có task Deadline &lt; TODAY, OfficerStatus=0 hoặc EmployeeStatus=0
2. Chạy job 00:05 (hoặc trigger manual)</t>
        </is>
      </c>
      <c r="D73" s="86" t="inlineStr">
        <is>
          <t>1. Bên chưa xử lý set Late (3) độc lập
2. Instance Status = Overdue nếu đang 0/1
3. Log TaskOverdue + notification</t>
        </is>
      </c>
      <c r="E73" s="86" t="inlineStr">
        <is>
          <t>[CL-Create-01]
Task quá hạn, job enabled</t>
        </is>
      </c>
      <c r="F73" s="85" t="inlineStr"/>
      <c r="G73" s="86" t="inlineStr">
        <is>
          <t>Untested</t>
        </is>
      </c>
      <c r="H73" s="166" t="n"/>
      <c r="I73" s="92" t="n"/>
      <c r="J73" s="87" t="n"/>
    </row>
    <row r="74" ht="80" customHeight="1">
      <c r="A74" s="165" t="inlineStr">
        <is>
          <t>[CL-Status-06]</t>
        </is>
      </c>
      <c r="B74" s="86" t="inlineStr">
        <is>
          <t>progressPercent = doneTaskCount / totalTaskCount * 100</t>
        </is>
      </c>
      <c r="C74" s="86" t="inlineStr">
        <is>
          <t>1. Instance 3/10 task done</t>
        </is>
      </c>
      <c r="D74" s="86" t="inlineStr">
        <is>
          <t>1. progressPercent = 30
2. List và detail đồng bộ</t>
        </is>
      </c>
      <c r="E74" s="86" t="inlineStr">
        <is>
          <t>[CL-Status-03]</t>
        </is>
      </c>
      <c r="F74" s="85" t="inlineStr"/>
      <c r="G74" s="86" t="inlineStr">
        <is>
          <t>Untested</t>
        </is>
      </c>
      <c r="H74" s="166" t="n"/>
      <c r="I74" s="92" t="n"/>
      <c r="J74" s="87" t="n"/>
    </row>
    <row r="75" ht="15.4" customHeight="1">
      <c r="A75" s="161" t="n"/>
      <c r="B75" s="161" t="inlineStr">
        <is>
          <t>Thông báo (Notification)</t>
        </is>
      </c>
      <c r="C75" s="162" t="n"/>
      <c r="D75" s="162" t="n"/>
      <c r="E75" s="162" t="n"/>
      <c r="F75" s="162" t="n"/>
      <c r="G75" s="162" t="n"/>
      <c r="H75" s="162" t="n"/>
      <c r="I75" s="163" t="n"/>
      <c r="J75" s="164" t="n"/>
    </row>
    <row r="76" ht="80" customHeight="1">
      <c r="A76" s="165" t="inlineStr">
        <is>
          <t>[CL-Notify-01]</t>
        </is>
      </c>
      <c r="B76" s="86" t="inlineStr">
        <is>
          <t>Nhắc task sắp đến hạn T-2</t>
        </is>
      </c>
      <c r="C76" s="86" t="inlineStr">
        <is>
          <t>1. Task deadline trong 2 ngày, bên chưa confirm</t>
        </is>
      </c>
      <c r="D76" s="86" t="inlineStr">
        <is>
          <t>1. Bên chưa confirm nhận: "Task [TaskDesc] đến hạn [Deadline]"</t>
        </is>
      </c>
      <c r="E76" s="86" t="inlineStr">
        <is>
          <t>Job/scheduler T-2 enabled</t>
        </is>
      </c>
      <c r="F76" s="85" t="inlineStr"/>
      <c r="G76" s="86" t="inlineStr">
        <is>
          <t>Untested</t>
        </is>
      </c>
      <c r="H76" s="166" t="n"/>
      <c r="I76" s="92" t="n"/>
      <c r="J76" s="87" t="n"/>
    </row>
    <row r="77" ht="80" customHeight="1">
      <c r="A77" s="165" t="inlineStr">
        <is>
          <t>[CL-Notify-02]</t>
        </is>
      </c>
      <c r="B77" s="86" t="inlineStr">
        <is>
          <t>Thông báo task quá hạn</t>
        </is>
      </c>
      <c r="C77" s="86" t="inlineStr">
        <is>
          <t>1. Task quá deadline chưa xử lý</t>
        </is>
      </c>
      <c r="D77" s="86" t="inlineStr">
        <is>
          <t>1. Bên chưa confirm + ADMIN nhận overdue notification</t>
        </is>
      </c>
      <c r="E77" s="86" t="inlineStr">
        <is>
          <t>[CL-Status-05]</t>
        </is>
      </c>
      <c r="F77" s="85" t="inlineStr"/>
      <c r="G77" s="86" t="inlineStr">
        <is>
          <t>Untested</t>
        </is>
      </c>
      <c r="H77" s="166" t="n"/>
      <c r="I77" s="92" t="n"/>
      <c r="J77" s="87" t="n"/>
    </row>
    <row r="78" ht="80" customHeight="1">
      <c r="A78" s="165" t="inlineStr">
        <is>
          <t>[CL-Notify-03]</t>
        </is>
      </c>
      <c r="B78" s="86" t="inlineStr">
        <is>
          <t>Không notify "đến lượt employee" (v2 bỏ thứ tự)</t>
        </is>
      </c>
      <c r="C78" s="86" t="inlineStr">
        <is>
          <t>1. Officer confirm task, employee chưa confirm</t>
        </is>
      </c>
      <c r="D78" s="86" t="inlineStr">
        <is>
          <t>1. Không có notification kiểu "đến lượt employee confirm"</t>
        </is>
      </c>
      <c r="E78" s="86" t="inlineStr">
        <is>
          <t>[CL-Officer-01]</t>
        </is>
      </c>
      <c r="F78" s="85" t="inlineStr"/>
      <c r="G78" s="86" t="inlineStr">
        <is>
          <t>Untested</t>
        </is>
      </c>
      <c r="H78" s="166" t="n"/>
      <c r="I78" s="92" t="n"/>
      <c r="J78" s="87" t="n"/>
    </row>
  </sheetData>
  <mergeCells count="5">
    <mergeCell ref="B3:G3"/>
    <mergeCell ref="B2:G2"/>
    <mergeCell ref="E5:G5"/>
    <mergeCell ref="B4:G4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case</dc:title>
  <dc:description xmlns:dc="http://purl.org/dc/elements/1.1/" xml:space="preserve">Updates sheet Cover: Add logo, document code, creator, reviewer/approver._x000d_
Add sheet Test Case List._x000d_
Change Sheet Company, User, Provider to Modules. Add column Inter-test case dependent. Update these sheets._x000d_
Update Test Report_x000d_
</dc:description>
  <dc:subject xmlns:dc="http://purl.org/dc/elements/1.1/">v1/0</dc:subject>
  <dcterms:created xmlns:dcterms="http://purl.org/dc/terms/" xmlns:xsi="http://www.w3.org/2001/XMLSchema-instance" xsi:type="dcterms:W3CDTF">2025-02-27T06:17:15Z</dcterms:created>
  <dcterms:modified xmlns:dcterms="http://purl.org/dc/terms/" xmlns:xsi="http://www.w3.org/2001/XMLSchema-instance" xsi:type="dcterms:W3CDTF">2026-06-23T02:44:23Z</dcterms:modified>
  <cp:lastModifiedBy>Hien Nguyen Manh</cp:lastModifiedBy>
  <cp:category>BM</cp:category>
</cp:coreProperties>
</file>